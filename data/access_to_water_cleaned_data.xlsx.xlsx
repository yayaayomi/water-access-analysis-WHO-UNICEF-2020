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officedocument.spreadsheetml.pivotTable+xml" PartName="/xl/pivotTables/pivotTable1.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imates-on-the-use-of-water-(" sheetId="1" r:id="rId5"/>
    <sheet state="visible" name="Pivot Table 1" sheetId="2" r:id="rId6"/>
    <sheet state="visible" name="ORDERED POP%_M" sheetId="3" r:id="rId7"/>
    <sheet state="visible" name="Global 2020 Report." sheetId="4" r:id="rId8"/>
    <sheet state="visible" name="Chart1" sheetId="5" r:id="rId9"/>
    <sheet state="visible" name="access distribution dashboard" sheetId="6" r:id="rId10"/>
    <sheet state="visible" name="ORDERED AND AGGREGATED POPvsACC" sheetId="7" r:id="rId11"/>
    <sheet state="visible" name="Sheet2" sheetId="8" r:id="rId12"/>
    <sheet state="visible" name="Sheet6" sheetId="9" r:id="rId13"/>
  </sheets>
  <definedNames>
    <definedName hidden="1" localSheetId="1" name="_xlnm._FilterDatabase">'Pivot Table 1'!$A$45:$B$50</definedName>
    <definedName hidden="1" localSheetId="2" name="_xlnm._FilterDatabase">'ORDERED POP%_M'!$B$1:$B$1000</definedName>
  </definedNames>
  <calcPr/>
  <pivotCaches>
    <pivotCache cacheId="0"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Presentation Speech
Access to Water Services Across National, Urban and Rural Areas
"Good day everyone.
In this analysis, I investigated how access to water services is distributed across countries by comparing three different population areas: National, Urban, and Rural.
Rather than looking at individual countries one at a time, I summarized the data using descriptive statistics and visualized those summaries with a box-and-whisker chart, also known as a candlestick chart in Google Sheets.
This approach allows us to understand the overall distribution of water access instead of focusing on isolated values."
What does the table represent?
"The summary table contains the five-number summary for each water service level.
Specifically, it shows:
the minimum value,
the first quartile (Q1),
the third quartile (Q3),
and the maximum value.
Together, these statistics describe how water access is distributed across all countries in the dataset."
What does the chart represent?
"The visualization transforms those statistics into a box-and-whisker plot.
Each box summarizes the distribution of one water service indicator.
The whiskers show the minimum and maximum observed values.
The box itself represents the middle 50 percent of countries, also known as the interquartile range.
This allows us to compare the variability and concentration of water access across National, Urban and Rural populations."
Key Findings
1. Basic water access is generally very high in Urban areas.
"One of the first observations is that Urban Basic Water Access has a box positioned very close to 100 percent.
This indicates that most countries provide a high level of basic water access to people living in urban areas."
2. Rural areas show greater variation.
"In contrast, Rural Basic Water Access has a much wider spread.
Some countries achieve very high rural access, while others perform considerably worse.
This suggests that rural communities experience greater inequality in water availability."
3. Surface water dependence remains relatively low.
"Across National, Urban and Rural populations, the Surface Water indicator remains close to zero for most countries.
This indicates that most countries have moved beyond relying primarily on untreated surface water.
However, the remaining countries that still depend on surface water may require urgent intervention because surface water often carries higher health risks."
4. Limited and Unimproved Water Services
"Limited and Unimproved Water Services show larger variability than Basic Water Access.
This tells us that although many countries have achieved good access to basic services, the quality and reliability of access still differ considerably between countries."
Business Interpretation
"From a policy perspective, these results suggest that improving rural water infrastructure should be a priority.
Urban populations generally enjoy better access to safe water, while rural populations remain more unevenly served.
Therefore, interventions aimed at reducing inequality should focus on rural communities where access remains inconsistent."
Why did we use a Box-and-Whisker Plot?
"A simple average would only tell us the typical level of access.
However, averages can hide important differences between countries.
The box-and-whisker plot reveals:
the spread,
the variability,
and the consistency of water access,
making it a much stronger visualization for comparing distributions."
Conclusion
"Overall, this analysis shows that water access differs not only by service level but also by area type.
Urban populations generally experience better and more consistent access to basic water services, while rural populations display greater variability and potential inequality.
These findings provide valuable evidence for governments and NGOs when prioritizing infrastructure investment and designing policies to improve equitable access to safe drinking water."
🎯 Mentor's Tip (How Senior Analysts Present)
Notice that I didn't read the numbers in the table.
A common mistake junior analysts make is saying:
"The Q1 is 85.5, the Q3 is 100..."
Stakeholders usually don't care about the exact statistics first—they care about what the numbers mean.
A senior analyst translates statistics into business language:
Instead of saying "Q1 is 64.8", say:
"At least 25% of countries have rural basic water access below approximately 65%, highlighting significant disparities."
Instead of saying "The maximum is 100", say:
"Some countries have achieved universal access to basic water services."
Instead of saying "The IQR is wide", say:
"The large spread indicates that countries are not performing equally, suggesting uneven development."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tc={2ac4b61e-b3f3-44e3-b943-1440fed00b8d}</author>
    <author>tc={6fbf9218-99a9-42f5-9cab-3041fccbb4ee}</author>
  </authors>
  <commentList>
    <comment authorId="0" ref="S5">
      <text>
        <t xml:space="preserve">"Comparing the 100% stacked column charts for national, urban, and rural, what can we say about access? Is it related to population size or area type share?"
The visualizations suggest that population size alone does not show a clear or consistent relationship with water access. However, the distribution of the population between urban and rural areas appears more informative. Urban areas generally show a high proportion of basic water access across different urban population shares, while higher rural population shares appear to coincide with greater proportions of limited, unimproved, and surface water access. These are associations observed in the data, not evidence of causation. Further analysis is required to understand the factors driving these differences.
</t>
      </text>
    </comment>
    <comment authorId="1" xr:uid="{2ac4b61e-b3f3-44e3-b943-1440fed00b8d}" ref="M49">
      <text>
        <t xml:space="preserve">[Threaded comment]
 Your version of Excel allows you to read this threaded comment; however, any edits to it will get removed if the file is opened in a newer version of Excel. Learn more: https://go.microsoft.com/fwlink/?linkid=870924
Comment:
	Higher rural population shares appear to be associated with a lower average share of basic water access and a greater presence of lower water-service levels.
</t>
      </text>
    </comment>
    <comment authorId="2" xr:uid="{6fbf9218-99a9-42f5-9cab-3041fccbb4ee}" ref="A49">
      <text>
        <t xml:space="preserve">[Threaded comment]
 Your version of Excel allows you to read this threaded comment; however, any edits to it will get removed if the file is opened in a newer version of Excel. Learn more: https://go.microsoft.com/fwlink/?linkid=870924
Comment:
	Countries with different urban population shares generally maintain a high proportion of basic water access in their urban populations, although some groups show variation and higher shares of limited, unimproved, or surface water.
</t>
      </text>
    </comment>
  </commentList>
</comments>
</file>

<file path=xl/sharedStrings.xml><?xml version="1.0" encoding="utf-8"?>
<sst xmlns="http://schemas.openxmlformats.org/spreadsheetml/2006/main" count="972" uniqueCount="312">
  <si>
    <t>Rounded_up_pop_U %</t>
  </si>
  <si>
    <t>Rounded_up_pop_R %</t>
  </si>
  <si>
    <t>Rounded-up pop_n (m)</t>
  </si>
  <si>
    <t>name</t>
  </si>
  <si>
    <t>income_group</t>
  </si>
  <si>
    <t>income_group_num</t>
  </si>
  <si>
    <t>pop_n (th)</t>
  </si>
  <si>
    <t>pop_u %</t>
  </si>
  <si>
    <t>wat_bas_n</t>
  </si>
  <si>
    <t>wat_lim_n</t>
  </si>
  <si>
    <t>wat_unimp_n</t>
  </si>
  <si>
    <t>wat_sur_n</t>
  </si>
  <si>
    <t>wat_bas_r</t>
  </si>
  <si>
    <t>wat_lim_r</t>
  </si>
  <si>
    <t>wat_unimp_r</t>
  </si>
  <si>
    <t>wat_sur_r</t>
  </si>
  <si>
    <t>wat_bas_u</t>
  </si>
  <si>
    <t>wat_lim_u</t>
  </si>
  <si>
    <t>wat_unimp_u</t>
  </si>
  <si>
    <t>wat_sur_u</t>
  </si>
  <si>
    <t>value_cnt</t>
  </si>
  <si>
    <t>pop_n_billion</t>
  </si>
  <si>
    <t>pop_u_value</t>
  </si>
  <si>
    <t>pop_r_value</t>
  </si>
  <si>
    <t>pop_u (th)</t>
  </si>
  <si>
    <t>pop_r (th)</t>
  </si>
  <si>
    <t>pop_r %</t>
  </si>
  <si>
    <t>Rounded-up pop_u (m)</t>
  </si>
  <si>
    <t>Rounded-up pop_r(m)</t>
  </si>
  <si>
    <t>wat_bas_n(rounded)</t>
  </si>
  <si>
    <t>Rounded-up pop_u (m) 2</t>
  </si>
  <si>
    <t>Column 1</t>
  </si>
  <si>
    <t>Column 2</t>
  </si>
  <si>
    <t>Column 3</t>
  </si>
  <si>
    <t>Column 4</t>
  </si>
  <si>
    <t>Tokelau</t>
  </si>
  <si>
    <t>NAN</t>
  </si>
  <si>
    <t>Niue</t>
  </si>
  <si>
    <t>Falkland Islands (Malvinas)</t>
  </si>
  <si>
    <t>Montserrat</t>
  </si>
  <si>
    <t>Saint Pierre and Miquelon</t>
  </si>
  <si>
    <t>Saint Helena</t>
  </si>
  <si>
    <t>Saint Barthelemy</t>
  </si>
  <si>
    <t>Nauru</t>
  </si>
  <si>
    <t>High income</t>
  </si>
  <si>
    <t>Wallis and Futuna Islands</t>
  </si>
  <si>
    <t>Tuvalu</t>
  </si>
  <si>
    <t>Upper middle income</t>
  </si>
  <si>
    <t>Cook Islands</t>
  </si>
  <si>
    <t>Palau</t>
  </si>
  <si>
    <t>British Virgin Islands</t>
  </si>
  <si>
    <t>Gibraltar</t>
  </si>
  <si>
    <t>San Marino</t>
  </si>
  <si>
    <t>Liechtenstein</t>
  </si>
  <si>
    <t>Saint Martin (French part)</t>
  </si>
  <si>
    <t>Monaco</t>
  </si>
  <si>
    <t>Faeroe Islands</t>
  </si>
  <si>
    <t>American Samoa</t>
  </si>
  <si>
    <t>Greenland</t>
  </si>
  <si>
    <t>Northern Mariana Islands</t>
  </si>
  <si>
    <t>Marshall Islands</t>
  </si>
  <si>
    <t>Bermuda</t>
  </si>
  <si>
    <t>Andorra</t>
  </si>
  <si>
    <t>Isle of Man</t>
  </si>
  <si>
    <t>United States Virgin Islands</t>
  </si>
  <si>
    <t>Tonga</t>
  </si>
  <si>
    <t>Kiribati</t>
  </si>
  <si>
    <t>Lower middle income</t>
  </si>
  <si>
    <t>Guam</t>
  </si>
  <si>
    <t>Saint Lucia</t>
  </si>
  <si>
    <t>Samoa</t>
  </si>
  <si>
    <t>Sao Tome and Principe</t>
  </si>
  <si>
    <t>Mayotte</t>
  </si>
  <si>
    <t>French Polynesia</t>
  </si>
  <si>
    <t>New Caledonia</t>
  </si>
  <si>
    <t>Barbados</t>
  </si>
  <si>
    <t>French Guiana</t>
  </si>
  <si>
    <t>Vanuatu</t>
  </si>
  <si>
    <t>Iceland</t>
  </si>
  <si>
    <t>Martinique</t>
  </si>
  <si>
    <t>Belize</t>
  </si>
  <si>
    <t>Guadeloupe</t>
  </si>
  <si>
    <t>Brunei Darussalam</t>
  </si>
  <si>
    <t>Malta</t>
  </si>
  <si>
    <t>Maldives</t>
  </si>
  <si>
    <t>Cabo Verde</t>
  </si>
  <si>
    <t>Feature</t>
  </si>
  <si>
    <t>Low (Min)</t>
  </si>
  <si>
    <t>Open (Q1)</t>
  </si>
  <si>
    <t>Close (Q3)</t>
  </si>
  <si>
    <t>High (Max)</t>
  </si>
  <si>
    <t>Suriname</t>
  </si>
  <si>
    <t>wat_bas_u (Basic water)</t>
  </si>
  <si>
    <t>wat_lim_u (Limited water)</t>
  </si>
  <si>
    <t>wat_unimp_u (Unimproved water)</t>
  </si>
  <si>
    <t>Luxembourg</t>
  </si>
  <si>
    <t>wat_sur_u (Surface water)</t>
  </si>
  <si>
    <t>wat_bas_r (Basic water)</t>
  </si>
  <si>
    <t>wat_lim_r (Limited water)</t>
  </si>
  <si>
    <t>wat_unimp_r (Unimproved water)</t>
  </si>
  <si>
    <t>wat_sur_r (Surface water)</t>
  </si>
  <si>
    <t>Montenegro</t>
  </si>
  <si>
    <t>China, Macao SAR</t>
  </si>
  <si>
    <t>Solomon Islands</t>
  </si>
  <si>
    <t>Bhutan</t>
  </si>
  <si>
    <t>Guyana</t>
  </si>
  <si>
    <t>Réunion</t>
  </si>
  <si>
    <t>Fiji</t>
  </si>
  <si>
    <t>Djibouti</t>
  </si>
  <si>
    <t>Eswatini</t>
  </si>
  <si>
    <t>Cyprus</t>
  </si>
  <si>
    <t>Mauritius</t>
  </si>
  <si>
    <t>Timor-Leste</t>
  </si>
  <si>
    <t>Estonia</t>
  </si>
  <si>
    <t>Trinidad and Tobago</t>
  </si>
  <si>
    <t>Bahrain</t>
  </si>
  <si>
    <t>Latvia</t>
  </si>
  <si>
    <t>Guinea-Bissau</t>
  </si>
  <si>
    <t>Low income</t>
  </si>
  <si>
    <t>Slovenia</t>
  </si>
  <si>
    <t>North Macedonia</t>
  </si>
  <si>
    <t>Lesotho</t>
  </si>
  <si>
    <t>Gabon</t>
  </si>
  <si>
    <t>Botswana</t>
  </si>
  <si>
    <t>Gambia</t>
  </si>
  <si>
    <t>SUM of pop_n_billion</t>
  </si>
  <si>
    <t>AVERAGE of pop_u %</t>
  </si>
  <si>
    <t>AVERAGE of wat_bas_n</t>
  </si>
  <si>
    <t>AVERAGE of wat_lim_n</t>
  </si>
  <si>
    <t>AVERAGE of wat_unimp_n</t>
  </si>
  <si>
    <t>AVERAGE of wat_sur_n</t>
  </si>
  <si>
    <t/>
  </si>
  <si>
    <t>Grand Total</t>
  </si>
  <si>
    <t>Namibia</t>
  </si>
  <si>
    <t>Lithuania</t>
  </si>
  <si>
    <t>Puerto Rico</t>
  </si>
  <si>
    <t>SUM of pop_n (th)</t>
  </si>
  <si>
    <t>Albania</t>
  </si>
  <si>
    <t>Qatar</t>
  </si>
  <si>
    <t>Jamaica</t>
  </si>
  <si>
    <t>Armenia</t>
  </si>
  <si>
    <t>Mongolia</t>
  </si>
  <si>
    <t>Bosnia and Herzegovina</t>
  </si>
  <si>
    <t>Uruguay</t>
  </si>
  <si>
    <t>Georgia</t>
  </si>
  <si>
    <t>Republic of Moldova</t>
  </si>
  <si>
    <t>Croatia</t>
  </si>
  <si>
    <t>Kuwait</t>
  </si>
  <si>
    <t>Panama</t>
  </si>
  <si>
    <t>Mauritania</t>
  </si>
  <si>
    <t>New Zealand</t>
  </si>
  <si>
    <t>Central African Republic</t>
  </si>
  <si>
    <t>Ireland</t>
  </si>
  <si>
    <t>Liberia</t>
  </si>
  <si>
    <t>Costa Rica</t>
  </si>
  <si>
    <t>West Bank and Gaza Strip</t>
  </si>
  <si>
    <t>Oman</t>
  </si>
  <si>
    <t>Norway</t>
  </si>
  <si>
    <t>Slovakia</t>
  </si>
  <si>
    <t>Congo</t>
  </si>
  <si>
    <t>Finland</t>
  </si>
  <si>
    <t>Denmark</t>
  </si>
  <si>
    <t>Singapore</t>
  </si>
  <si>
    <t>Turkmenistan</t>
  </si>
  <si>
    <t>El Salvador</t>
  </si>
  <si>
    <t>Kyrgyzstan</t>
  </si>
  <si>
    <t>Nicaragua</t>
  </si>
  <si>
    <t>Lebanon</t>
  </si>
  <si>
    <t>Libya</t>
  </si>
  <si>
    <t>Bulgaria</t>
  </si>
  <si>
    <t>Paraguay</t>
  </si>
  <si>
    <t>Lao People's Democratic Republic</t>
  </si>
  <si>
    <t>China, Hong Kong SAR</t>
  </si>
  <si>
    <t>Sierra Leone</t>
  </si>
  <si>
    <t>Togo</t>
  </si>
  <si>
    <t>Switzerland</t>
  </si>
  <si>
    <t>Israel</t>
  </si>
  <si>
    <t>Serbia</t>
  </si>
  <si>
    <t>Papua New Guinea</t>
  </si>
  <si>
    <t>Austria</t>
  </si>
  <si>
    <t>Belarus</t>
  </si>
  <si>
    <t>Tajikistan</t>
  </si>
  <si>
    <t>Hungary</t>
  </si>
  <si>
    <t>United Arab Emirates</t>
  </si>
  <si>
    <t>Honduras</t>
  </si>
  <si>
    <t>Sweden</t>
  </si>
  <si>
    <t>Azerbaijan</t>
  </si>
  <si>
    <t>Portugal</t>
  </si>
  <si>
    <t>Jordan</t>
  </si>
  <si>
    <t>Greece</t>
  </si>
  <si>
    <t>Czech Republic</t>
  </si>
  <si>
    <t>Dominican Republic</t>
  </si>
  <si>
    <t>South Sudan</t>
  </si>
  <si>
    <t>Cuba</t>
  </si>
  <si>
    <t>Haiti</t>
  </si>
  <si>
    <t>Belgium</t>
  </si>
  <si>
    <t>Bolivia (Plurinational State of)</t>
  </si>
  <si>
    <t>Tunisia</t>
  </si>
  <si>
    <t>Burundi</t>
  </si>
  <si>
    <t>Benin</t>
  </si>
  <si>
    <t>Rwanda</t>
  </si>
  <si>
    <t>Guinea</t>
  </si>
  <si>
    <t>Zimbabwe</t>
  </si>
  <si>
    <t>Somalia</t>
  </si>
  <si>
    <t>Chad</t>
  </si>
  <si>
    <t>Cambodia</t>
  </si>
  <si>
    <t>Senegal</t>
  </si>
  <si>
    <t>Netherlands</t>
  </si>
  <si>
    <t>Syrian Arab Republic</t>
  </si>
  <si>
    <t>Ecuador</t>
  </si>
  <si>
    <t>Guatemala</t>
  </si>
  <si>
    <t>Zambia</t>
  </si>
  <si>
    <t>Kazakhstan</t>
  </si>
  <si>
    <t>Chile</t>
  </si>
  <si>
    <t>Malawi</t>
  </si>
  <si>
    <t>Romania</t>
  </si>
  <si>
    <t>Mali</t>
  </si>
  <si>
    <t>Burkina Faso</t>
  </si>
  <si>
    <t>Sri Lanka</t>
  </si>
  <si>
    <t>Niger</t>
  </si>
  <si>
    <t>Australia</t>
  </si>
  <si>
    <t>Democratic People's Republic of Korea</t>
  </si>
  <si>
    <t>Côte d'Ivoire</t>
  </si>
  <si>
    <t>Cameroon</t>
  </si>
  <si>
    <t>Madagascar</t>
  </si>
  <si>
    <t>Venezuela (Bolivarian Republic of)</t>
  </si>
  <si>
    <t>Nepal</t>
  </si>
  <si>
    <t>Yemen</t>
  </si>
  <si>
    <t>Ghana</t>
  </si>
  <si>
    <t>Mozambique</t>
  </si>
  <si>
    <t>Malaysia</t>
  </si>
  <si>
    <t>Angola</t>
  </si>
  <si>
    <t>Peru</t>
  </si>
  <si>
    <t>Uzbekistan</t>
  </si>
  <si>
    <t>Saudi Arabia</t>
  </si>
  <si>
    <t>Morocco</t>
  </si>
  <si>
    <t>Canada</t>
  </si>
  <si>
    <t>Poland</t>
  </si>
  <si>
    <t>Afghanistan</t>
  </si>
  <si>
    <t>Iraq</t>
  </si>
  <si>
    <t>Ukraine</t>
  </si>
  <si>
    <t>Sudan</t>
  </si>
  <si>
    <t>Algeria</t>
  </si>
  <si>
    <t>Argentina</t>
  </si>
  <si>
    <t>Uganda</t>
  </si>
  <si>
    <t>Spain</t>
  </si>
  <si>
    <t>Colombia</t>
  </si>
  <si>
    <t>Republic of Korea</t>
  </si>
  <si>
    <t>Kenya</t>
  </si>
  <si>
    <t>Myanmar</t>
  </si>
  <si>
    <t>South Africa</t>
  </si>
  <si>
    <t>United Republic of Tanzania</t>
  </si>
  <si>
    <t>Italy</t>
  </si>
  <si>
    <t>France</t>
  </si>
  <si>
    <t>United Kingdom</t>
  </si>
  <si>
    <t>Thailand</t>
  </si>
  <si>
    <t>Germany</t>
  </si>
  <si>
    <t>Iran (Islamic Republic of)</t>
  </si>
  <si>
    <t>Turkey</t>
  </si>
  <si>
    <t>Democratic Republic of the Congo</t>
  </si>
  <si>
    <t>Viet Nam</t>
  </si>
  <si>
    <t>Egypt</t>
  </si>
  <si>
    <t>Philippines</t>
  </si>
  <si>
    <t>Ethiopia</t>
  </si>
  <si>
    <t>Japan</t>
  </si>
  <si>
    <t>Mexico</t>
  </si>
  <si>
    <t>Russian Federation</t>
  </si>
  <si>
    <t>Bangladesh</t>
  </si>
  <si>
    <t>Nigeria</t>
  </si>
  <si>
    <t>Brazil</t>
  </si>
  <si>
    <t>Pakistan</t>
  </si>
  <si>
    <t>Indonesia</t>
  </si>
  <si>
    <t>United States of America</t>
  </si>
  <si>
    <t>India</t>
  </si>
  <si>
    <t>China</t>
  </si>
  <si>
    <t>pop_n</t>
  </si>
  <si>
    <t>pop_world</t>
  </si>
  <si>
    <t>pop_u_val</t>
  </si>
  <si>
    <t>Metric</t>
  </si>
  <si>
    <t>Value</t>
  </si>
  <si>
    <t>Dataset Population</t>
  </si>
  <si>
    <t>World Population</t>
  </si>
  <si>
    <t>Population % Difference</t>
  </si>
  <si>
    <t>Percentage Difference</t>
  </si>
  <si>
    <t>Coverage Percentage</t>
  </si>
  <si>
    <t>FEATURES</t>
  </si>
  <si>
    <t>MAX</t>
  </si>
  <si>
    <t>MIN</t>
  </si>
  <si>
    <t>mean</t>
  </si>
  <si>
    <t>median</t>
  </si>
  <si>
    <t>mode</t>
  </si>
  <si>
    <t>QRTL 1</t>
  </si>
  <si>
    <t>QRTL 3</t>
  </si>
  <si>
    <t>IQR</t>
  </si>
  <si>
    <t>STDEV</t>
  </si>
  <si>
    <t>wat_bas_n (Basic water)</t>
  </si>
  <si>
    <t>wat_lim_n (Limited water)</t>
  </si>
  <si>
    <t>wat_unimp_n (Unimproved water)</t>
  </si>
  <si>
    <t>wat_sur_n (Surface water)</t>
  </si>
  <si>
    <t>COMMENT</t>
  </si>
  <si>
    <t>Analysis</t>
  </si>
  <si>
    <t>Independent variable</t>
  </si>
  <si>
    <t>Main observation</t>
  </si>
  <si>
    <t>National</t>
  </si>
  <si>
    <t>Population size</t>
  </si>
  <si>
    <t>No clear, consistent relationship</t>
  </si>
  <si>
    <t>Urban</t>
  </si>
  <si>
    <t>Urban population share</t>
  </si>
  <si>
    <t>Basic access remains dominant across most groups</t>
  </si>
  <si>
    <t>Rural</t>
  </si>
  <si>
    <t>Rural population share</t>
  </si>
  <si>
    <t>Higher rural shares appear to coincide with more lower-level access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</si>
</sst>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24.0"/>
      <color theme="1"/>
      <name val="Arial"/>
      <scheme val="minor"/>
    </font>
    <font>
      <b/>
      <color theme="1"/>
      <name val="Arial"/>
      <scheme val="minor"/>
    </font>
    <font>
      <color rgb="FF000000"/>
      <name val="Arial"/>
      <scheme val="minor"/>
    </font>
    <font>
      <b/>
      <sz val="12.0"/>
      <color theme="1"/>
      <name val="Arial"/>
      <scheme val="minor"/>
    </font>
    <font>
      <b/>
      <sz val="14.0"/>
      <color rgb="FFE95F0B"/>
      <name val="Lexend Deca"/>
    </font>
    <font>
      <b/>
      <sz val="18.0"/>
      <color theme="1"/>
      <name val="Arial"/>
      <scheme val="minor"/>
    </font>
    <font>
      <sz val="14.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9900"/>
        <bgColor rgb="FFFF9900"/>
      </patternFill>
    </fill>
    <fill>
      <patternFill patternType="solid">
        <fgColor rgb="FF263237"/>
        <bgColor rgb="FF263237"/>
      </patternFill>
    </fill>
    <fill>
      <patternFill patternType="solid">
        <fgColor rgb="FFE95F0B"/>
        <bgColor rgb="FFE95F0B"/>
      </patternFill>
    </fill>
    <fill>
      <patternFill patternType="solid">
        <fgColor theme="8"/>
        <bgColor theme="8"/>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xf borderId="0" fillId="3" fontId="1" numFmtId="0" xfId="0" applyFill="1" applyFont="1"/>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xf>
    <xf borderId="0" fillId="0" fontId="2" numFmtId="0" xfId="0" applyAlignment="1" applyFont="1">
      <alignment horizontal="left" readingOrder="0" shrinkToFit="0" vertical="center" wrapText="0"/>
    </xf>
    <xf borderId="0" fillId="0" fontId="1" numFmtId="4" xfId="0" applyAlignment="1" applyFont="1" applyNumberFormat="1">
      <alignment shrinkToFit="0" vertical="center" wrapText="0"/>
    </xf>
    <xf borderId="0" fillId="4" fontId="1" numFmtId="0" xfId="0" applyFill="1" applyFont="1"/>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1" numFmtId="49" xfId="0" applyFont="1" applyNumberFormat="1"/>
    <xf borderId="0" fillId="0" fontId="1" numFmtId="0" xfId="0" applyFont="1"/>
    <xf borderId="0" fillId="0" fontId="3" numFmtId="49"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shrinkToFit="0" vertical="center" wrapText="0"/>
    </xf>
    <xf borderId="0" fillId="0" fontId="4" numFmtId="2" xfId="0" applyAlignment="1" applyFont="1" applyNumberFormat="1">
      <alignment shrinkToFit="0" vertical="center" wrapText="0"/>
    </xf>
    <xf borderId="0" fillId="0" fontId="1" numFmtId="0" xfId="0" applyAlignment="1" applyFont="1">
      <alignment shrinkToFit="0" vertical="center" wrapText="0"/>
    </xf>
    <xf borderId="0" fillId="0" fontId="1" numFmtId="2" xfId="0" applyAlignment="1" applyFont="1" applyNumberFormat="1">
      <alignment shrinkToFit="0" vertical="center" wrapText="0"/>
    </xf>
    <xf borderId="0" fillId="0" fontId="1" numFmtId="0" xfId="0" applyAlignment="1" applyFont="1">
      <alignment shrinkToFit="0" vertical="center" wrapText="0"/>
    </xf>
    <xf borderId="0" fillId="0" fontId="5" numFmtId="49"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borderId="0" fillId="0" fontId="3" numFmtId="0" xfId="0" applyFont="1"/>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center" readingOrder="0"/>
    </xf>
    <xf borderId="0" fillId="0" fontId="3" numFmtId="0" xfId="0" applyAlignment="1" applyFont="1">
      <alignment horizontal="right" readingOrder="0"/>
    </xf>
    <xf borderId="0" fillId="0" fontId="1" numFmtId="0" xfId="0" applyAlignment="1" applyFont="1">
      <alignment horizontal="right" readingOrder="0"/>
    </xf>
    <xf borderId="0" fillId="0" fontId="3" numFmtId="0" xfId="0" applyAlignment="1" applyFont="1">
      <alignment horizontal="center" readingOrder="0" shrinkToFit="0" vertical="center" wrapText="0"/>
    </xf>
    <xf borderId="0" fillId="0" fontId="3"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6" numFmtId="0" xfId="0" applyAlignment="1" applyFont="1">
      <alignment readingOrder="0"/>
    </xf>
    <xf borderId="0" fillId="5" fontId="3" numFmtId="0" xfId="0" applyFill="1" applyFont="1"/>
    <xf borderId="0" fillId="0" fontId="7" numFmtId="0" xfId="0" applyAlignment="1" applyFont="1">
      <alignment horizontal="center" readingOrder="0"/>
    </xf>
    <xf borderId="0" fillId="0" fontId="8" numFmtId="0" xfId="0" applyAlignment="1" applyFont="1">
      <alignment readingOrder="0"/>
    </xf>
    <xf borderId="0" fillId="6" fontId="1" numFmtId="0" xfId="0" applyFill="1" applyFont="1"/>
    <xf borderId="0" fillId="7" fontId="1" numFmtId="0" xfId="0" applyFill="1" applyFont="1"/>
  </cellXfs>
  <cellStyles count="1">
    <cellStyle xfId="0" name="Normal" builtinId="0"/>
  </cellStyles>
  <dxfs count="19">
    <dxf>
      <font/>
      <fill>
        <patternFill patternType="none"/>
      </fill>
      <border/>
    </dxf>
    <dxf>
      <font/>
      <fill>
        <patternFill patternType="solid">
          <fgColor rgb="FF091A39"/>
          <bgColor rgb="FF091A39"/>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91A39"/>
        </left>
        <right style="thin">
          <color rgb="FF091A39"/>
        </right>
        <top style="thin">
          <color rgb="FF091A39"/>
        </top>
        <bottom style="thin">
          <color rgb="FF091A39"/>
        </bottom>
      </border>
    </dxf>
    <dxf>
      <font/>
      <fill>
        <patternFill patternType="solid">
          <fgColor rgb="FF0C4155"/>
          <bgColor rgb="FF0C4155"/>
        </patternFill>
      </fill>
      <border/>
    </dxf>
    <dxf>
      <font/>
      <fill>
        <patternFill patternType="solid">
          <fgColor rgb="FF626E7A"/>
          <bgColor rgb="FF626E7A"/>
        </patternFill>
      </fill>
      <border/>
    </dxf>
    <dxf>
      <border>
        <left style="thin">
          <color rgb="FF626E7A"/>
        </left>
        <right style="thin">
          <color rgb="FF626E7A"/>
        </right>
        <top style="thin">
          <color rgb="FF626E7A"/>
        </top>
        <bottom style="thin">
          <color rgb="FF626E7A"/>
        </bottom>
        <vertical style="thin">
          <color rgb="FFD4D4D4"/>
        </vertical>
        <horizontal style="thin">
          <color rgb="FFD4D4D4"/>
        </horizontal>
      </border>
    </dxf>
    <dxf>
      <font/>
      <fill>
        <patternFill patternType="solid">
          <fgColor rgb="FF7C8283"/>
          <bgColor rgb="FF7C8283"/>
        </patternFill>
      </fill>
      <border/>
    </dxf>
    <dxf>
      <font/>
      <fill>
        <patternFill patternType="solid">
          <fgColor rgb="FF80848A"/>
          <bgColor rgb="FF80848A"/>
        </patternFill>
      </fill>
      <border/>
    </dxf>
    <dxf>
      <font/>
      <fill>
        <patternFill patternType="solid">
          <fgColor rgb="FF1A2944"/>
          <bgColor rgb="FF1A2944"/>
        </patternFill>
      </fill>
      <border/>
    </dxf>
    <dxf>
      <font/>
      <fill>
        <patternFill patternType="solid">
          <fgColor rgb="FFE56509"/>
          <bgColor rgb="FFE56509"/>
        </patternFill>
      </fill>
      <border/>
    </dxf>
    <dxf>
      <font/>
      <fill>
        <patternFill patternType="solid">
          <fgColor rgb="FF080327"/>
          <bgColor rgb="FF080327"/>
        </patternFill>
      </fill>
      <border/>
    </dxf>
    <dxf>
      <font/>
      <fill>
        <patternFill patternType="solid">
          <fgColor rgb="FFE55B06"/>
          <bgColor rgb="FFE55B06"/>
        </patternFill>
      </fill>
      <border/>
    </dxf>
    <dxf>
      <font/>
      <fill>
        <patternFill patternType="solid">
          <fgColor rgb="FF040419"/>
          <bgColor rgb="FF040419"/>
        </patternFill>
      </fill>
      <border/>
    </dxf>
    <dxf>
      <font/>
      <fill>
        <patternFill patternType="solid">
          <fgColor rgb="FFE95F0B"/>
          <bgColor rgb="FFE95F0B"/>
        </patternFill>
      </fill>
      <border/>
    </dxf>
    <dxf>
      <font/>
      <fill>
        <patternFill patternType="solid">
          <fgColor rgb="FF050723"/>
          <bgColor rgb="FF050723"/>
        </patternFill>
      </fill>
      <border/>
    </dxf>
    <dxf>
      <font/>
      <fill>
        <patternFill patternType="solid">
          <fgColor rgb="FFBDBDBD"/>
          <bgColor rgb="FFBDBDBD"/>
        </patternFill>
      </fill>
      <border/>
    </dxf>
    <dxf>
      <font/>
      <fill>
        <patternFill patternType="solid">
          <fgColor rgb="FFF3F3F3"/>
          <bgColor rgb="FFF3F3F3"/>
        </patternFill>
      </fill>
      <border/>
    </dxf>
  </dxfs>
  <tableStyles count="13">
    <tableStyle count="4" pivot="0" name="Estimates-on-the-use-of-water-(-style">
      <tableStyleElement dxfId="1" type="headerRow"/>
      <tableStyleElement dxfId="2" type="firstRowStripe"/>
      <tableStyleElement dxfId="3" type="secondRowStripe"/>
      <tableStyleElement dxfId="4" size="0" type="wholeTable"/>
    </tableStyle>
    <tableStyle count="4" pivot="0" name="access distribution dashboard-style">
      <tableStyleElement dxfId="5" type="headerRow"/>
      <tableStyleElement dxfId="2" type="firstRowStripe"/>
      <tableStyleElement dxfId="3" type="secondRowStripe"/>
      <tableStyleElement dxfId="4" size="0" type="wholeTable"/>
    </tableStyle>
    <tableStyle count="5" pivot="0" name="Pivot Table 1-style">
      <tableStyleElement dxfId="6" type="headerRow"/>
      <tableStyleElement dxfId="2" type="firstRowStripe"/>
      <tableStyleElement dxfId="3" type="secondRowStripe"/>
      <tableStyleElement dxfId="5" type="totalRow"/>
      <tableStyleElement dxfId="7" size="0" type="wholeTable"/>
    </tableStyle>
    <tableStyle count="5" pivot="0" name="Pivot Table 1-style 2">
      <tableStyleElement dxfId="8" type="headerRow"/>
      <tableStyleElement dxfId="2" type="firstRowStripe"/>
      <tableStyleElement dxfId="3" type="secondRowStripe"/>
      <tableStyleElement dxfId="9" type="totalRow"/>
      <tableStyleElement dxfId="7" size="0" type="wholeTable"/>
    </tableStyle>
    <tableStyle count="5" pivot="0" name="Pivot Table 1-style 3">
      <tableStyleElement dxfId="6" type="headerRow"/>
      <tableStyleElement dxfId="2" type="firstRowStripe"/>
      <tableStyleElement dxfId="3" type="secondRowStripe"/>
      <tableStyleElement dxfId="10" type="totalRow"/>
      <tableStyleElement dxfId="7" size="0" type="wholeTable"/>
    </tableStyle>
    <tableStyle count="4" pivot="0" name="Global 2020 Report.-style">
      <tableStyleElement dxfId="11" type="headerRow"/>
      <tableStyleElement dxfId="2" type="firstRowStripe"/>
      <tableStyleElement dxfId="3" type="secondRowStripe"/>
      <tableStyleElement dxfId="4" size="0" type="wholeTable"/>
    </tableStyle>
    <tableStyle count="4" pivot="0" name="Global 2020 Report.-style 2">
      <tableStyleElement dxfId="12" type="headerRow"/>
      <tableStyleElement dxfId="2" type="firstRowStripe"/>
      <tableStyleElement dxfId="3" type="secondRowStripe"/>
      <tableStyleElement dxfId="4" size="0" type="wholeTable"/>
    </tableStyle>
    <tableStyle count="4" pivot="0" name="Global 2020 Report.-style 3">
      <tableStyleElement dxfId="13" type="headerRow"/>
      <tableStyleElement dxfId="2" type="firstRowStripe"/>
      <tableStyleElement dxfId="3" type="secondRowStripe"/>
      <tableStyleElement dxfId="4" size="0" type="wholeTable"/>
    </tableStyle>
    <tableStyle count="4" pivot="0" name="Global 2020 Report.-style 4">
      <tableStyleElement dxfId="14" type="headerRow"/>
      <tableStyleElement dxfId="2" type="firstRowStripe"/>
      <tableStyleElement dxfId="3" type="secondRowStripe"/>
      <tableStyleElement dxfId="4" size="0" type="wholeTable"/>
    </tableStyle>
    <tableStyle count="4" pivot="0" name="Global 2020 Report.-style 5">
      <tableStyleElement dxfId="15" type="headerRow"/>
      <tableStyleElement dxfId="2" type="firstRowStripe"/>
      <tableStyleElement dxfId="3" type="secondRowStripe"/>
      <tableStyleElement dxfId="4" size="0" type="wholeTable"/>
    </tableStyle>
    <tableStyle count="4" pivot="0" name="Global 2020 Report.-style 6">
      <tableStyleElement dxfId="16" type="headerRow"/>
      <tableStyleElement dxfId="2" type="firstRowStripe"/>
      <tableStyleElement dxfId="3" type="secondRowStripe"/>
      <tableStyleElement dxfId="4" size="0" type="wholeTable"/>
    </tableStyle>
    <tableStyle count="4" pivot="0" name="Global 2020 Report.-style 7">
      <tableStyleElement dxfId="5" type="headerRow"/>
      <tableStyleElement dxfId="2" type="firstRowStripe"/>
      <tableStyleElement dxfId="3" type="secondRowStripe"/>
      <tableStyleElement dxfId="4" size="0" type="wholeTable"/>
    </tableStyle>
    <tableStyle count="3" pivot="0" name="ORDERED AND AGGREGATED POPvsACC-style">
      <tableStyleElement dxfId="17" type="headerRow"/>
      <tableStyleElement dxfId="2" type="firstRowStripe"/>
      <tableStyleElement dxfId="1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6.xml"/><Relationship Id="rId10" Type="http://schemas.openxmlformats.org/officeDocument/2006/relationships/worksheet" Target="worksheets/sheet5.xml"/><Relationship Id="rId13" Type="http://schemas.openxmlformats.org/officeDocument/2006/relationships/worksheet" Target="worksheets/sheet8.xml"/><Relationship Id="rId12"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chartsheet" Target="chartsheets/sheet1.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mn-lt"/>
              </a:defRPr>
            </a:pPr>
            <a:r>
              <a:rPr b="1" sz="1600">
                <a:solidFill>
                  <a:srgbClr val="000000"/>
                </a:solidFill>
                <a:latin typeface="+mn-lt"/>
              </a:rPr>
              <a:t>Water access by income group
Average share of the population at each national water service level across income groups</a:t>
            </a:r>
          </a:p>
        </c:rich>
      </c:tx>
      <c:overlay val="0"/>
    </c:title>
    <c:plotArea>
      <c:layout/>
      <c:barChart>
        <c:barDir val="col"/>
        <c:grouping val="stacked"/>
        <c:ser>
          <c:idx val="0"/>
          <c:order val="0"/>
          <c:tx>
            <c:strRef>
              <c:f>'Pivot Table 1'!$B$12</c:f>
            </c:strRef>
          </c:tx>
          <c:spPr>
            <a:solidFill>
              <a:schemeClr val="accent1"/>
            </a:solidFill>
            <a:ln cmpd="sng">
              <a:noFill/>
            </a:ln>
          </c:spPr>
          <c:invertIfNegative val="0"/>
          <c:cat>
            <c:strRef>
              <c:f>'Pivot Table 1'!$A$13:$A$16</c:f>
            </c:strRef>
          </c:cat>
          <c:val>
            <c:numRef>
              <c:f>'Pivot Table 1'!$B$13:$B$16</c:f>
              <c:numCache/>
            </c:numRef>
          </c:val>
        </c:ser>
        <c:ser>
          <c:idx val="1"/>
          <c:order val="1"/>
          <c:tx>
            <c:strRef>
              <c:f>'Pivot Table 1'!$C$12</c:f>
            </c:strRef>
          </c:tx>
          <c:spPr>
            <a:solidFill>
              <a:schemeClr val="accent2"/>
            </a:solidFill>
            <a:ln cmpd="sng">
              <a:noFill/>
            </a:ln>
          </c:spPr>
          <c:invertIfNegative val="0"/>
          <c:cat>
            <c:strRef>
              <c:f>'Pivot Table 1'!$A$13:$A$16</c:f>
            </c:strRef>
          </c:cat>
          <c:val>
            <c:numRef>
              <c:f>'Pivot Table 1'!$C$13:$C$16</c:f>
              <c:numCache/>
            </c:numRef>
          </c:val>
        </c:ser>
        <c:ser>
          <c:idx val="2"/>
          <c:order val="2"/>
          <c:tx>
            <c:strRef>
              <c:f>'Pivot Table 1'!$D$12</c:f>
            </c:strRef>
          </c:tx>
          <c:spPr>
            <a:solidFill>
              <a:schemeClr val="accent3"/>
            </a:solidFill>
            <a:ln cmpd="sng">
              <a:noFill/>
            </a:ln>
          </c:spPr>
          <c:invertIfNegative val="0"/>
          <c:cat>
            <c:strRef>
              <c:f>'Pivot Table 1'!$A$13:$A$16</c:f>
            </c:strRef>
          </c:cat>
          <c:val>
            <c:numRef>
              <c:f>'Pivot Table 1'!$D$13:$D$16</c:f>
              <c:numCache/>
            </c:numRef>
          </c:val>
        </c:ser>
        <c:ser>
          <c:idx val="3"/>
          <c:order val="3"/>
          <c:tx>
            <c:strRef>
              <c:f>'Pivot Table 1'!$E$12</c:f>
            </c:strRef>
          </c:tx>
          <c:spPr>
            <a:solidFill>
              <a:schemeClr val="accent4"/>
            </a:solidFill>
            <a:ln cmpd="sng">
              <a:noFill/>
            </a:ln>
          </c:spPr>
          <c:invertIfNegative val="0"/>
          <c:cat>
            <c:strRef>
              <c:f>'Pivot Table 1'!$A$13:$A$16</c:f>
            </c:strRef>
          </c:cat>
          <c:val>
            <c:numRef>
              <c:f>'Pivot Table 1'!$E$13:$E$16</c:f>
              <c:numCache/>
            </c:numRef>
          </c:val>
        </c:ser>
        <c:overlap val="100"/>
        <c:axId val="541053523"/>
        <c:axId val="854780243"/>
      </c:barChart>
      <c:catAx>
        <c:axId val="541053523"/>
        <c:scaling>
          <c:orientation val="minMax"/>
        </c:scaling>
        <c:delete val="0"/>
        <c:axPos val="b"/>
        <c:title>
          <c:tx>
            <c:rich>
              <a:bodyPr/>
              <a:lstStyle/>
              <a:p>
                <a:pPr lvl="0">
                  <a:defRPr b="0" sz="2000">
                    <a:solidFill>
                      <a:srgbClr val="000000"/>
                    </a:solidFill>
                    <a:latin typeface="+mn-lt"/>
                  </a:defRPr>
                </a:pPr>
                <a:r>
                  <a:rPr b="0" sz="2000">
                    <a:solidFill>
                      <a:srgbClr val="000000"/>
                    </a:solidFill>
                    <a:latin typeface="+mn-lt"/>
                  </a:rPr>
                  <a:t>income_group_num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54780243"/>
      </c:catAx>
      <c:valAx>
        <c:axId val="854780243"/>
        <c:scaling>
          <c:orientation val="minMax"/>
        </c:scaling>
        <c:delete val="0"/>
        <c:axPos val="l"/>
        <c:majorGridlines>
          <c:spPr>
            <a:ln>
              <a:solidFill>
                <a:srgbClr val="EA4335"/>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541053523"/>
      </c:valAx>
    </c:plotArea>
    <c:legend>
      <c:legendPos val="r"/>
      <c:legendEntry>
        <c:idx val="0"/>
        <c:txPr>
          <a:bodyPr/>
          <a:lstStyle/>
          <a:p>
            <a:pPr lvl="0">
              <a:defRPr sz="1600"/>
            </a:pPr>
          </a:p>
        </c:txPr>
      </c:legendEntry>
      <c:overlay val="0"/>
      <c:txPr>
        <a:bodyPr/>
        <a:lstStyle/>
        <a:p>
          <a:pPr lvl="0">
            <a:defRPr b="0" sz="1600">
              <a:solidFill>
                <a:srgbClr val="1A1A1A"/>
              </a:solidFill>
              <a:latin typeface="+mn-lt"/>
            </a:defRPr>
          </a:pPr>
        </a:p>
      </c:txPr>
    </c:legend>
    <c:plotVisOnly val="1"/>
  </c:chart>
  <c:spPr>
    <a:solidFill>
      <a:srgbClr val="BBC6D6"/>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Population by income group</a:t>
            </a:r>
          </a:p>
        </c:rich>
      </c:tx>
      <c:overlay val="0"/>
    </c:title>
    <c:plotArea>
      <c:layout/>
      <c:barChart>
        <c:barDir val="col"/>
        <c:varyColors val="0"/>
        <c:ser>
          <c:idx val="0"/>
          <c:order val="0"/>
          <c:tx>
            <c:strRef>
              <c:f>'Pivot Table 1'!$B$72</c:f>
            </c:strRef>
          </c:tx>
          <c:spPr>
            <a:solidFill>
              <a:schemeClr val="accent1"/>
            </a:solidFill>
            <a:ln cmpd="sng">
              <a:noFill/>
            </a:ln>
          </c:spPr>
          <c:invertIfNegative val="0"/>
          <c:cat>
            <c:strRef>
              <c:f>'Pivot Table 1'!$A$73:$A$76</c:f>
            </c:strRef>
          </c:cat>
          <c:val>
            <c:numRef>
              <c:f>'Pivot Table 1'!$B$73:$B$76</c:f>
              <c:numCache/>
            </c:numRef>
          </c:val>
        </c:ser>
        <c:axId val="542306448"/>
        <c:axId val="266712335"/>
      </c:barChart>
      <c:catAx>
        <c:axId val="5423064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income_group_num</a:t>
                </a:r>
              </a:p>
            </c:rich>
          </c:tx>
          <c:overlay val="0"/>
        </c:title>
        <c:numFmt formatCode="General" sourceLinked="1"/>
        <c:majorTickMark val="none"/>
        <c:minorTickMark val="none"/>
        <c:spPr>
          <a:ln>
            <a:noFill/>
          </a:ln>
        </c:spPr>
        <c:txPr>
          <a:bodyPr/>
          <a:lstStyle/>
          <a:p>
            <a:pPr lvl="0">
              <a:defRPr b="0" sz="1600">
                <a:solidFill>
                  <a:srgbClr val="000000"/>
                </a:solidFill>
                <a:latin typeface="+mn-lt"/>
              </a:defRPr>
            </a:pPr>
          </a:p>
        </c:txPr>
        <c:crossAx val="266712335"/>
      </c:catAx>
      <c:valAx>
        <c:axId val="2667123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pop_n (th)</a:t>
                </a:r>
              </a:p>
            </c:rich>
          </c:tx>
          <c:overlay val="0"/>
        </c:title>
        <c:numFmt formatCode="General" sourceLinked="1"/>
        <c:majorTickMark val="cross"/>
        <c:minorTickMark val="cross"/>
        <c:tickLblPos val="nextTo"/>
        <c:spPr>
          <a:ln/>
        </c:spPr>
        <c:txPr>
          <a:bodyPr/>
          <a:lstStyle/>
          <a:p>
            <a:pPr lvl="0">
              <a:defRPr b="0" sz="1600">
                <a:solidFill>
                  <a:srgbClr val="000000"/>
                </a:solidFill>
                <a:latin typeface="+mn-lt"/>
              </a:defRPr>
            </a:pPr>
          </a:p>
        </c:txPr>
        <c:crossAx val="542306448"/>
      </c:valAx>
    </c:plotArea>
    <c:legend>
      <c:legendPos val="r"/>
      <c:overlay val="0"/>
      <c:txPr>
        <a:bodyPr/>
        <a:lstStyle/>
        <a:p>
          <a:pPr lvl="0">
            <a:defRPr b="0">
              <a:solidFill>
                <a:srgbClr val="1A1A1A"/>
              </a:solidFill>
              <a:latin typeface="+mn-lt"/>
            </a:defRPr>
          </a:pPr>
        </a:p>
      </c:txPr>
    </c:legend>
    <c:plotVisOnly val="1"/>
  </c:chart>
  <c:spPr>
    <a:solidFill>
      <a:srgbClr val="D5D5DB"/>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Urban vs Rural Population Share by Country Population Size</a:t>
            </a:r>
          </a:p>
        </c:rich>
      </c:tx>
      <c:overlay val="0"/>
    </c:title>
    <c:plotArea>
      <c:layout/>
      <c:lineChart>
        <c:ser>
          <c:idx val="0"/>
          <c:order val="0"/>
          <c:tx>
            <c:strRef>
              <c:f>'Estimates-on-the-use-of-water-('!$E$1</c:f>
            </c:strRef>
          </c:tx>
          <c:spPr>
            <a:ln cmpd="sng">
              <a:solidFill>
                <a:srgbClr val="4285F4"/>
              </a:solidFill>
            </a:ln>
          </c:spPr>
          <c:marker>
            <c:symbol val="none"/>
          </c:marker>
          <c:cat>
            <c:strRef>
              <c:f>'Estimates-on-the-use-of-water-('!$D$2:$D$214</c:f>
            </c:strRef>
          </c:cat>
          <c:val>
            <c:numRef>
              <c:f>'Estimates-on-the-use-of-water-('!$E$2:$E$214</c:f>
              <c:numCache/>
            </c:numRef>
          </c:val>
          <c:smooth val="0"/>
        </c:ser>
        <c:ser>
          <c:idx val="1"/>
          <c:order val="1"/>
          <c:tx>
            <c:strRef>
              <c:f>'Estimates-on-the-use-of-water-('!$X$1</c:f>
            </c:strRef>
          </c:tx>
          <c:spPr>
            <a:ln cmpd="sng">
              <a:solidFill>
                <a:srgbClr val="EA4335"/>
              </a:solidFill>
            </a:ln>
          </c:spPr>
          <c:marker>
            <c:symbol val="none"/>
          </c:marker>
          <c:cat>
            <c:strRef>
              <c:f>'Estimates-on-the-use-of-water-('!$D$2:$D$214</c:f>
            </c:strRef>
          </c:cat>
          <c:val>
            <c:numRef>
              <c:f>'Estimates-on-the-use-of-water-('!$X$2:$X$214</c:f>
              <c:numCache/>
            </c:numRef>
          </c:val>
          <c:smooth val="0"/>
        </c:ser>
        <c:axId val="378246789"/>
        <c:axId val="1362256746"/>
      </c:lineChart>
      <c:catAx>
        <c:axId val="378246789"/>
        <c:scaling>
          <c:orientation val="minMax"/>
        </c:scaling>
        <c:delete val="0"/>
        <c:axPos val="b"/>
        <c:title>
          <c:tx>
            <c:rich>
              <a:bodyPr/>
              <a:lstStyle/>
              <a:p>
                <a:pPr lvl="0">
                  <a:defRPr b="0" sz="1600">
                    <a:solidFill>
                      <a:srgbClr val="000000"/>
                    </a:solidFill>
                    <a:latin typeface="Arial black"/>
                  </a:defRPr>
                </a:pPr>
                <a:r>
                  <a:rPr b="0" sz="1600">
                    <a:solidFill>
                      <a:srgbClr val="000000"/>
                    </a:solidFill>
                    <a:latin typeface="Arial black"/>
                  </a:rPr>
                  <a:t>National Population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62256746"/>
      </c:catAx>
      <c:valAx>
        <c:axId val="13622567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Arial black"/>
                  </a:defRPr>
                </a:pPr>
                <a:r>
                  <a:rPr b="0" sz="1600">
                    <a:solidFill>
                      <a:srgbClr val="000000"/>
                    </a:solidFill>
                    <a:latin typeface="Arial black"/>
                  </a:rPr>
                  <a:t>Population Share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8246789"/>
      </c:valAx>
    </c:plotArea>
    <c:legend>
      <c:legendPos val="r"/>
      <c:overlay val="0"/>
      <c:txPr>
        <a:bodyPr/>
        <a:lstStyle/>
        <a:p>
          <a:pPr lvl="0">
            <a:defRPr b="0" sz="1800">
              <a:solidFill>
                <a:srgbClr val="1A1A1A"/>
              </a:solidFill>
              <a:latin typeface="Arial black"/>
            </a:defRPr>
          </a:pPr>
        </a:p>
      </c:txPr>
    </c:legend>
    <c:plotVisOnly val="1"/>
  </c:chart>
  <c:spPr>
    <a:solidFill>
      <a:srgbClr val="F3F3F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Arial black"/>
              </a:defRPr>
            </a:pPr>
            <a:r>
              <a:rPr b="1">
                <a:solidFill>
                  <a:srgbClr val="FFFFFF"/>
                </a:solidFill>
                <a:latin typeface="Arial black"/>
              </a:rPr>
              <a:t>URBAN_WATER_ACCESS</a:t>
            </a:r>
          </a:p>
        </c:rich>
      </c:tx>
      <c:overlay val="0"/>
    </c:title>
    <c:plotArea>
      <c:layout/>
      <c:stockChart>
        <c:ser>
          <c:idx val="0"/>
          <c:order val="0"/>
          <c:tx>
            <c:strRef>
              <c:f>'Global 2020 Report.'!$C$54</c:f>
            </c:strRef>
          </c:tx>
          <c:spPr>
            <a:ln cmpd="sng">
              <a:noFill/>
            </a:ln>
          </c:spPr>
          <c:marker>
            <c:symbol val="none"/>
          </c:marker>
          <c:cat>
            <c:strRef>
              <c:f>'Global 2020 Report.'!$A$55:$A$58</c:f>
            </c:strRef>
          </c:cat>
          <c:val>
            <c:numRef>
              <c:f>'Global 2020 Report.'!$C$55:$C$58</c:f>
              <c:numCache/>
            </c:numRef>
          </c:val>
          <c:smooth val="0"/>
        </c:ser>
        <c:ser>
          <c:idx val="1"/>
          <c:order val="1"/>
          <c:tx>
            <c:strRef>
              <c:f>'Global 2020 Report.'!$E$54</c:f>
            </c:strRef>
          </c:tx>
          <c:spPr>
            <a:ln cmpd="sng">
              <a:noFill/>
            </a:ln>
          </c:spPr>
          <c:marker>
            <c:symbol val="none"/>
          </c:marker>
          <c:cat>
            <c:strRef>
              <c:f>'Global 2020 Report.'!$A$55:$A$58</c:f>
            </c:strRef>
          </c:cat>
          <c:val>
            <c:numRef>
              <c:f>'Global 2020 Report.'!$E$55:$E$58</c:f>
              <c:numCache/>
            </c:numRef>
          </c:val>
          <c:smooth val="0"/>
        </c:ser>
        <c:ser>
          <c:idx val="2"/>
          <c:order val="2"/>
          <c:tx>
            <c:strRef>
              <c:f>'Global 2020 Report.'!$B$54</c:f>
            </c:strRef>
          </c:tx>
          <c:spPr>
            <a:ln cmpd="sng">
              <a:noFill/>
            </a:ln>
          </c:spPr>
          <c:marker>
            <c:symbol val="none"/>
          </c:marker>
          <c:cat>
            <c:strRef>
              <c:f>'Global 2020 Report.'!$A$55:$A$58</c:f>
            </c:strRef>
          </c:cat>
          <c:val>
            <c:numRef>
              <c:f>'Global 2020 Report.'!$B$55:$B$58</c:f>
              <c:numCache/>
            </c:numRef>
          </c:val>
          <c:smooth val="0"/>
        </c:ser>
        <c:ser>
          <c:idx val="3"/>
          <c:order val="3"/>
          <c:tx>
            <c:strRef>
              <c:f>'Global 2020 Report.'!$D$54</c:f>
            </c:strRef>
          </c:tx>
          <c:spPr>
            <a:ln cmpd="sng">
              <a:noFill/>
            </a:ln>
          </c:spPr>
          <c:marker>
            <c:symbol val="none"/>
          </c:marker>
          <c:cat>
            <c:strRef>
              <c:f>'Global 2020 Report.'!$A$55:$A$58</c:f>
            </c:strRef>
          </c:cat>
          <c:val>
            <c:numRef>
              <c:f>'Global 2020 Report.'!$D$55:$D$58</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94079559"/>
        <c:axId val="1362447282"/>
      </c:stockChart>
      <c:catAx>
        <c:axId val="194079559"/>
        <c:scaling>
          <c:orientation val="minMax"/>
        </c:scaling>
        <c:delete val="0"/>
        <c:axPos val="b"/>
        <c:title>
          <c:tx>
            <c:rich>
              <a:bodyPr/>
              <a:lstStyle/>
              <a:p>
                <a:pPr lvl="0">
                  <a:defRPr b="1" sz="1400">
                    <a:solidFill>
                      <a:srgbClr val="EFEFEF"/>
                    </a:solidFill>
                    <a:latin typeface="+mn-lt"/>
                  </a:defRPr>
                </a:pPr>
                <a:r>
                  <a:rPr b="1" sz="1400">
                    <a:solidFill>
                      <a:srgbClr val="EFEFEF"/>
                    </a:solidFill>
                    <a:latin typeface="+mn-lt"/>
                  </a:rPr>
                  <a:t>FEATURES</a:t>
                </a:r>
              </a:p>
            </c:rich>
          </c:tx>
          <c:overlay val="0"/>
        </c:title>
        <c:numFmt formatCode="General" sourceLinked="1"/>
        <c:majorTickMark val="none"/>
        <c:minorTickMark val="none"/>
        <c:spPr>
          <a:ln>
            <a:noFill/>
          </a:ln>
        </c:spPr>
        <c:txPr>
          <a:bodyPr/>
          <a:lstStyle/>
          <a:p>
            <a:pPr lvl="0">
              <a:defRPr b="0" sz="1400">
                <a:solidFill>
                  <a:srgbClr val="FFFFFF"/>
                </a:solidFill>
                <a:latin typeface="+mn-lt"/>
              </a:defRPr>
            </a:pPr>
          </a:p>
        </c:txPr>
        <c:crossAx val="1362447282"/>
      </c:catAx>
      <c:valAx>
        <c:axId val="1362447282"/>
        <c:scaling>
          <c:orientation val="minMax"/>
        </c:scaling>
        <c:delete val="0"/>
        <c:axPos val="l"/>
        <c:majorGridlines>
          <c:spPr>
            <a:ln>
              <a:solidFill>
                <a:srgbClr val="EFEFE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94079559"/>
      </c:valAx>
    </c:plotArea>
    <c:legend>
      <c:legendPos val="r"/>
      <c:overlay val="0"/>
      <c:txPr>
        <a:bodyPr/>
        <a:lstStyle/>
        <a:p>
          <a:pPr lvl="0">
            <a:defRPr b="0">
              <a:solidFill>
                <a:srgbClr val="1A1A1A"/>
              </a:solidFill>
              <a:latin typeface="+mn-lt"/>
            </a:defRPr>
          </a:pPr>
        </a:p>
      </c:txPr>
    </c:legend>
    <c:plotVisOnly val="1"/>
  </c:chart>
  <c:spPr>
    <a:solidFill>
      <a:srgbClr val="DE0D2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Arial black"/>
              </a:defRPr>
            </a:pPr>
            <a:r>
              <a:rPr b="1" i="0" sz="2000">
                <a:solidFill>
                  <a:srgbClr val="FFFFFF"/>
                </a:solidFill>
                <a:latin typeface="Arial black"/>
              </a:rPr>
              <a:t>Rural_Water_access</a:t>
            </a:r>
          </a:p>
        </c:rich>
      </c:tx>
      <c:overlay val="0"/>
    </c:title>
    <c:plotArea>
      <c:layout/>
      <c:stockChart>
        <c:ser>
          <c:idx val="0"/>
          <c:order val="0"/>
          <c:tx>
            <c:strRef>
              <c:f>'Global 2020 Report.'!$C$80</c:f>
            </c:strRef>
          </c:tx>
          <c:spPr>
            <a:ln cmpd="sng">
              <a:noFill/>
            </a:ln>
          </c:spPr>
          <c:marker>
            <c:symbol val="none"/>
          </c:marker>
          <c:cat>
            <c:strRef>
              <c:f>'Global 2020 Report.'!$A$81:$A$84</c:f>
            </c:strRef>
          </c:cat>
          <c:val>
            <c:numRef>
              <c:f>'Global 2020 Report.'!$C$81:$C$84</c:f>
              <c:numCache/>
            </c:numRef>
          </c:val>
          <c:smooth val="0"/>
        </c:ser>
        <c:ser>
          <c:idx val="1"/>
          <c:order val="1"/>
          <c:tx>
            <c:strRef>
              <c:f>'Global 2020 Report.'!$E$80</c:f>
            </c:strRef>
          </c:tx>
          <c:spPr>
            <a:ln cmpd="sng">
              <a:noFill/>
            </a:ln>
          </c:spPr>
          <c:marker>
            <c:symbol val="none"/>
          </c:marker>
          <c:cat>
            <c:strRef>
              <c:f>'Global 2020 Report.'!$A$81:$A$84</c:f>
            </c:strRef>
          </c:cat>
          <c:val>
            <c:numRef>
              <c:f>'Global 2020 Report.'!$E$81:$E$84</c:f>
              <c:numCache/>
            </c:numRef>
          </c:val>
          <c:smooth val="0"/>
        </c:ser>
        <c:ser>
          <c:idx val="2"/>
          <c:order val="2"/>
          <c:tx>
            <c:strRef>
              <c:f>'Global 2020 Report.'!$B$80</c:f>
            </c:strRef>
          </c:tx>
          <c:spPr>
            <a:ln cmpd="sng">
              <a:noFill/>
            </a:ln>
          </c:spPr>
          <c:marker>
            <c:symbol val="none"/>
          </c:marker>
          <c:cat>
            <c:strRef>
              <c:f>'Global 2020 Report.'!$A$81:$A$84</c:f>
            </c:strRef>
          </c:cat>
          <c:val>
            <c:numRef>
              <c:f>'Global 2020 Report.'!$B$81:$B$84</c:f>
              <c:numCache/>
            </c:numRef>
          </c:val>
          <c:smooth val="0"/>
        </c:ser>
        <c:ser>
          <c:idx val="3"/>
          <c:order val="3"/>
          <c:tx>
            <c:strRef>
              <c:f>'Global 2020 Report.'!$D$80</c:f>
            </c:strRef>
          </c:tx>
          <c:spPr>
            <a:ln cmpd="sng">
              <a:noFill/>
            </a:ln>
          </c:spPr>
          <c:marker>
            <c:symbol val="none"/>
          </c:marker>
          <c:cat>
            <c:strRef>
              <c:f>'Global 2020 Report.'!$A$81:$A$84</c:f>
            </c:strRef>
          </c:cat>
          <c:val>
            <c:numRef>
              <c:f>'Global 2020 Report.'!$D$81:$D$84</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388803807"/>
        <c:axId val="1587622541"/>
      </c:stockChart>
      <c:catAx>
        <c:axId val="1388803807"/>
        <c:scaling>
          <c:orientation val="minMax"/>
        </c:scaling>
        <c:delete val="0"/>
        <c:axPos val="b"/>
        <c:title>
          <c:tx>
            <c:rich>
              <a:bodyPr/>
              <a:lstStyle/>
              <a:p>
                <a:pPr lvl="0">
                  <a:defRPr b="1" sz="1400">
                    <a:solidFill>
                      <a:srgbClr val="EFEFEF"/>
                    </a:solidFill>
                    <a:latin typeface="+mn-lt"/>
                  </a:defRPr>
                </a:pPr>
                <a:r>
                  <a:rPr b="1" sz="1400">
                    <a:solidFill>
                      <a:srgbClr val="EFEFEF"/>
                    </a:solidFill>
                    <a:latin typeface="+mn-lt"/>
                  </a:rPr>
                  <a:t>FEATURES</a:t>
                </a:r>
              </a:p>
            </c:rich>
          </c:tx>
          <c:overlay val="0"/>
        </c:title>
        <c:numFmt formatCode="General" sourceLinked="1"/>
        <c:majorTickMark val="none"/>
        <c:minorTickMark val="none"/>
        <c:spPr>
          <a:ln>
            <a:noFill/>
          </a:ln>
        </c:spPr>
        <c:txPr>
          <a:bodyPr/>
          <a:lstStyle/>
          <a:p>
            <a:pPr lvl="0">
              <a:defRPr b="0" sz="1400">
                <a:solidFill>
                  <a:srgbClr val="FFFFFF"/>
                </a:solidFill>
                <a:latin typeface="sans-serif"/>
              </a:defRPr>
            </a:pPr>
          </a:p>
        </c:txPr>
        <c:crossAx val="1587622541"/>
      </c:catAx>
      <c:valAx>
        <c:axId val="1587622541"/>
        <c:scaling>
          <c:orientation val="minMax"/>
        </c:scaling>
        <c:delete val="0"/>
        <c:axPos val="l"/>
        <c:majorGridlines>
          <c:spPr>
            <a:ln>
              <a:solidFill>
                <a:srgbClr val="EFEFEF"/>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388803807"/>
      </c:valAx>
    </c:plotArea>
    <c:legend>
      <c:legendPos val="r"/>
      <c:overlay val="0"/>
      <c:txPr>
        <a:bodyPr/>
        <a:lstStyle/>
        <a:p>
          <a:pPr lvl="0">
            <a:defRPr b="0">
              <a:solidFill>
                <a:srgbClr val="1A1A1A"/>
              </a:solidFill>
              <a:latin typeface="+mn-lt"/>
            </a:defRPr>
          </a:pPr>
        </a:p>
      </c:txPr>
    </c:legend>
    <c:plotVisOnly val="1"/>
  </c:chart>
  <c:spPr>
    <a:solidFill>
      <a:srgbClr val="DE0D27"/>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NATIONAL_WATER_ACCESS</a:t>
            </a:r>
          </a:p>
        </c:rich>
      </c:tx>
      <c:overlay val="0"/>
    </c:title>
    <c:plotArea>
      <c:layout/>
      <c:stockChart>
        <c:ser>
          <c:idx val="0"/>
          <c:order val="0"/>
          <c:tx>
            <c:strRef>
              <c:f>'Global 2020 Report.'!$C$31</c:f>
            </c:strRef>
          </c:tx>
          <c:spPr>
            <a:ln cmpd="sng">
              <a:noFill/>
            </a:ln>
          </c:spPr>
          <c:marker>
            <c:symbol val="none"/>
          </c:marker>
          <c:cat>
            <c:strRef>
              <c:f>'Global 2020 Report.'!$A$32:$A$35</c:f>
            </c:strRef>
          </c:cat>
          <c:val>
            <c:numRef>
              <c:f>'Global 2020 Report.'!$C$32:$C$35</c:f>
              <c:numCache/>
            </c:numRef>
          </c:val>
          <c:smooth val="0"/>
        </c:ser>
        <c:ser>
          <c:idx val="1"/>
          <c:order val="1"/>
          <c:tx>
            <c:strRef>
              <c:f>'Global 2020 Report.'!$E$31</c:f>
            </c:strRef>
          </c:tx>
          <c:spPr>
            <a:ln cmpd="sng">
              <a:noFill/>
            </a:ln>
          </c:spPr>
          <c:marker>
            <c:symbol val="none"/>
          </c:marker>
          <c:cat>
            <c:strRef>
              <c:f>'Global 2020 Report.'!$A$32:$A$35</c:f>
            </c:strRef>
          </c:cat>
          <c:val>
            <c:numRef>
              <c:f>'Global 2020 Report.'!$E$32:$E$35</c:f>
              <c:numCache/>
            </c:numRef>
          </c:val>
          <c:smooth val="0"/>
        </c:ser>
        <c:ser>
          <c:idx val="2"/>
          <c:order val="2"/>
          <c:tx>
            <c:strRef>
              <c:f>'Global 2020 Report.'!$B$31</c:f>
            </c:strRef>
          </c:tx>
          <c:spPr>
            <a:ln cmpd="sng">
              <a:noFill/>
            </a:ln>
          </c:spPr>
          <c:marker>
            <c:symbol val="none"/>
          </c:marker>
          <c:cat>
            <c:strRef>
              <c:f>'Global 2020 Report.'!$A$32:$A$35</c:f>
            </c:strRef>
          </c:cat>
          <c:val>
            <c:numRef>
              <c:f>'Global 2020 Report.'!$B$32:$B$35</c:f>
              <c:numCache/>
            </c:numRef>
          </c:val>
          <c:smooth val="0"/>
        </c:ser>
        <c:ser>
          <c:idx val="3"/>
          <c:order val="3"/>
          <c:tx>
            <c:strRef>
              <c:f>'Global 2020 Report.'!$D$31</c:f>
            </c:strRef>
          </c:tx>
          <c:spPr>
            <a:ln cmpd="sng">
              <a:noFill/>
            </a:ln>
          </c:spPr>
          <c:marker>
            <c:symbol val="none"/>
          </c:marker>
          <c:cat>
            <c:strRef>
              <c:f>'Global 2020 Report.'!$A$32:$A$35</c:f>
            </c:strRef>
          </c:cat>
          <c:val>
            <c:numRef>
              <c:f>'Global 2020 Report.'!$D$32:$D$35</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018775576"/>
        <c:axId val="1301396575"/>
      </c:stockChart>
      <c:catAx>
        <c:axId val="1018775576"/>
        <c:scaling>
          <c:orientation val="minMax"/>
        </c:scaling>
        <c:delete val="0"/>
        <c:axPos val="b"/>
        <c:title>
          <c:tx>
            <c:rich>
              <a:bodyPr/>
              <a:lstStyle/>
              <a:p>
                <a:pPr lvl="0">
                  <a:defRPr b="1" sz="1400">
                    <a:solidFill>
                      <a:srgbClr val="EFEFEF"/>
                    </a:solidFill>
                    <a:latin typeface="+mn-lt"/>
                  </a:defRPr>
                </a:pPr>
                <a:r>
                  <a:rPr b="1" sz="1400">
                    <a:solidFill>
                      <a:srgbClr val="EFEFEF"/>
                    </a:solidFill>
                    <a:latin typeface="+mn-lt"/>
                  </a:rPr>
                  <a:t>FEATURES</a:t>
                </a:r>
              </a:p>
            </c:rich>
          </c:tx>
          <c:overlay val="0"/>
        </c:title>
        <c:numFmt formatCode="General" sourceLinked="1"/>
        <c:majorTickMark val="none"/>
        <c:minorTickMark val="none"/>
        <c:spPr>
          <a:ln>
            <a:noFill/>
          </a:ln>
        </c:spPr>
        <c:txPr>
          <a:bodyPr rot="0"/>
          <a:lstStyle/>
          <a:p>
            <a:pPr lvl="0">
              <a:defRPr b="1" sz="1400">
                <a:solidFill>
                  <a:srgbClr val="FFFFFF"/>
                </a:solidFill>
                <a:latin typeface="+mn-lt"/>
              </a:defRPr>
            </a:pPr>
          </a:p>
        </c:txPr>
        <c:crossAx val="1301396575"/>
      </c:catAx>
      <c:valAx>
        <c:axId val="1301396575"/>
        <c:scaling>
          <c:orientation val="minMax"/>
        </c:scaling>
        <c:delete val="0"/>
        <c:axPos val="l"/>
        <c:majorGridlines>
          <c:spPr>
            <a:ln>
              <a:solidFill>
                <a:srgbClr val="EFEFEF"/>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018775576"/>
      </c:valAx>
    </c:plotArea>
    <c:legend>
      <c:legendPos val="r"/>
      <c:overlay val="0"/>
      <c:txPr>
        <a:bodyPr/>
        <a:lstStyle/>
        <a:p>
          <a:pPr lvl="0">
            <a:defRPr b="0">
              <a:solidFill>
                <a:srgbClr val="1A1A1A"/>
              </a:solidFill>
              <a:latin typeface="+mn-lt"/>
            </a:defRPr>
          </a:pPr>
        </a:p>
      </c:txPr>
    </c:legend>
    <c:plotVisOnly val="1"/>
  </c:chart>
  <c:spPr>
    <a:solidFill>
      <a:srgbClr val="DD0F2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'Estimates-on-the-use-of-water-('!$F$1</c:f>
            </c:strRef>
          </c:tx>
          <c:spPr>
            <a:solidFill>
              <a:schemeClr val="accent1"/>
            </a:solidFill>
            <a:ln cmpd="sng">
              <a:noFill/>
            </a:ln>
          </c:spPr>
          <c:invertIfNegative val="0"/>
          <c:cat>
            <c:strRef>
              <c:f>'Estimates-on-the-use-of-water-('!$D$2:$D$1000</c:f>
            </c:strRef>
          </c:cat>
          <c:val>
            <c:numRef>
              <c:f>'Estimates-on-the-use-of-water-('!$F$2:$F$1000</c:f>
              <c:numCache/>
            </c:numRef>
          </c:val>
        </c:ser>
        <c:ser>
          <c:idx val="1"/>
          <c:order val="1"/>
          <c:tx>
            <c:strRef>
              <c:f>'Estimates-on-the-use-of-water-('!$G$1</c:f>
            </c:strRef>
          </c:tx>
          <c:spPr>
            <a:solidFill>
              <a:schemeClr val="accent2"/>
            </a:solidFill>
            <a:ln cmpd="sng">
              <a:noFill/>
            </a:ln>
          </c:spPr>
          <c:invertIfNegative val="0"/>
          <c:cat>
            <c:strRef>
              <c:f>'Estimates-on-the-use-of-water-('!$D$2:$D$1000</c:f>
            </c:strRef>
          </c:cat>
          <c:val>
            <c:numRef>
              <c:f>'Estimates-on-the-use-of-water-('!$G$2:$G$1000</c:f>
              <c:numCache/>
            </c:numRef>
          </c:val>
        </c:ser>
        <c:ser>
          <c:idx val="2"/>
          <c:order val="2"/>
          <c:tx>
            <c:strRef>
              <c:f>'Estimates-on-the-use-of-water-('!$H$1</c:f>
            </c:strRef>
          </c:tx>
          <c:spPr>
            <a:solidFill>
              <a:schemeClr val="accent3"/>
            </a:solidFill>
            <a:ln cmpd="sng">
              <a:noFill/>
            </a:ln>
          </c:spPr>
          <c:invertIfNegative val="0"/>
          <c:cat>
            <c:strRef>
              <c:f>'Estimates-on-the-use-of-water-('!$D$2:$D$1000</c:f>
            </c:strRef>
          </c:cat>
          <c:val>
            <c:numRef>
              <c:f>'Estimates-on-the-use-of-water-('!$H$2:$H$1000</c:f>
              <c:numCache/>
            </c:numRef>
          </c:val>
        </c:ser>
        <c:ser>
          <c:idx val="3"/>
          <c:order val="3"/>
          <c:tx>
            <c:strRef>
              <c:f>'Estimates-on-the-use-of-water-('!$I$1</c:f>
            </c:strRef>
          </c:tx>
          <c:spPr>
            <a:solidFill>
              <a:schemeClr val="accent4"/>
            </a:solidFill>
            <a:ln cmpd="sng">
              <a:noFill/>
            </a:ln>
          </c:spPr>
          <c:invertIfNegative val="0"/>
          <c:cat>
            <c:strRef>
              <c:f>'Estimates-on-the-use-of-water-('!$D$2:$D$1000</c:f>
            </c:strRef>
          </c:cat>
          <c:val>
            <c:numRef>
              <c:f>'Estimates-on-the-use-of-water-('!$I$2:$I$1000</c:f>
              <c:numCache/>
            </c:numRef>
          </c:val>
        </c:ser>
        <c:overlap val="100"/>
        <c:axId val="111478282"/>
        <c:axId val="1906559072"/>
      </c:barChart>
      <c:catAx>
        <c:axId val="1114782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chemeClr val="lt1"/>
                </a:solidFill>
                <a:latin typeface="+mn-lt"/>
              </a:defRPr>
            </a:pPr>
          </a:p>
        </c:txPr>
        <c:crossAx val="1906559072"/>
      </c:catAx>
      <c:valAx>
        <c:axId val="1906559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11478282"/>
      </c:valAx>
    </c:plotArea>
    <c:legend>
      <c:legendPos val="r"/>
      <c:overlay val="0"/>
      <c:txPr>
        <a:bodyPr/>
        <a:lstStyle/>
        <a:p>
          <a:pPr lvl="0">
            <a:defRPr b="0">
              <a:solidFill>
                <a:srgbClr val="FFFFFF"/>
              </a:solidFill>
              <a:latin typeface="+mn-lt"/>
            </a:defRPr>
          </a:pPr>
        </a:p>
      </c:txPr>
    </c:legend>
    <c:plotVisOnly val="1"/>
  </c:chart>
  <c:spPr>
    <a:solidFill>
      <a:srgbClr val="05072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FFFFFF"/>
                </a:solidFill>
                <a:latin typeface="+mn-lt"/>
              </a:defRPr>
            </a:pPr>
            <a:r>
              <a:rPr b="1" sz="2400">
                <a:solidFill>
                  <a:srgbClr val="FFFFFF"/>
                </a:solidFill>
                <a:latin typeface="+mn-lt"/>
              </a:rPr>
              <a:t>National Water Access by National Population Size(M)</a:t>
            </a:r>
          </a:p>
        </c:rich>
      </c:tx>
      <c:overlay val="0"/>
    </c:title>
    <c:plotArea>
      <c:layout/>
      <c:barChart>
        <c:barDir val="col"/>
        <c:grouping val="percentStacked"/>
        <c:ser>
          <c:idx val="0"/>
          <c:order val="0"/>
          <c:tx>
            <c:strRef>
              <c:f>'Estimates-on-the-use-of-water-('!$F$1</c:f>
            </c:strRef>
          </c:tx>
          <c:spPr>
            <a:solidFill>
              <a:schemeClr val="accent1"/>
            </a:solidFill>
            <a:ln cmpd="sng">
              <a:noFill/>
            </a:ln>
          </c:spPr>
          <c:invertIfNegative val="0"/>
          <c:cat>
            <c:strRef>
              <c:f>'Estimates-on-the-use-of-water-('!$AA$2:$AA$1000</c:f>
            </c:strRef>
          </c:cat>
          <c:val>
            <c:numRef>
              <c:f>'Estimates-on-the-use-of-water-('!$F$2:$F$1000</c:f>
              <c:numCache/>
            </c:numRef>
          </c:val>
        </c:ser>
        <c:ser>
          <c:idx val="1"/>
          <c:order val="1"/>
          <c:tx>
            <c:strRef>
              <c:f>'Estimates-on-the-use-of-water-('!$G$1</c:f>
            </c:strRef>
          </c:tx>
          <c:spPr>
            <a:solidFill>
              <a:schemeClr val="accent2"/>
            </a:solidFill>
            <a:ln cmpd="sng">
              <a:noFill/>
            </a:ln>
          </c:spPr>
          <c:invertIfNegative val="0"/>
          <c:cat>
            <c:strRef>
              <c:f>'Estimates-on-the-use-of-water-('!$AA$2:$AA$1000</c:f>
            </c:strRef>
          </c:cat>
          <c:val>
            <c:numRef>
              <c:f>'Estimates-on-the-use-of-water-('!$G$2:$G$1000</c:f>
              <c:numCache/>
            </c:numRef>
          </c:val>
        </c:ser>
        <c:ser>
          <c:idx val="2"/>
          <c:order val="2"/>
          <c:tx>
            <c:strRef>
              <c:f>'Estimates-on-the-use-of-water-('!$H$1</c:f>
            </c:strRef>
          </c:tx>
          <c:spPr>
            <a:solidFill>
              <a:schemeClr val="accent3"/>
            </a:solidFill>
            <a:ln cmpd="sng">
              <a:noFill/>
            </a:ln>
          </c:spPr>
          <c:invertIfNegative val="0"/>
          <c:cat>
            <c:strRef>
              <c:f>'Estimates-on-the-use-of-water-('!$AA$2:$AA$1000</c:f>
            </c:strRef>
          </c:cat>
          <c:val>
            <c:numRef>
              <c:f>'Estimates-on-the-use-of-water-('!$H$2:$H$1000</c:f>
              <c:numCache/>
            </c:numRef>
          </c:val>
        </c:ser>
        <c:ser>
          <c:idx val="3"/>
          <c:order val="3"/>
          <c:tx>
            <c:strRef>
              <c:f>'Estimates-on-the-use-of-water-('!$I$1</c:f>
            </c:strRef>
          </c:tx>
          <c:spPr>
            <a:solidFill>
              <a:schemeClr val="accent4"/>
            </a:solidFill>
            <a:ln cmpd="sng">
              <a:noFill/>
            </a:ln>
          </c:spPr>
          <c:invertIfNegative val="0"/>
          <c:cat>
            <c:strRef>
              <c:f>'Estimates-on-the-use-of-water-('!$AA$2:$AA$1000</c:f>
            </c:strRef>
          </c:cat>
          <c:val>
            <c:numRef>
              <c:f>'Estimates-on-the-use-of-water-('!$I$2:$I$1000</c:f>
              <c:numCache/>
            </c:numRef>
          </c:val>
        </c:ser>
        <c:overlap val="100"/>
        <c:axId val="409307007"/>
        <c:axId val="1916724243"/>
      </c:barChart>
      <c:catAx>
        <c:axId val="409307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chemeClr val="lt1"/>
                </a:solidFill>
                <a:latin typeface="+mn-lt"/>
              </a:defRPr>
            </a:pPr>
          </a:p>
        </c:txPr>
        <c:crossAx val="1916724243"/>
      </c:catAx>
      <c:valAx>
        <c:axId val="19167242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409307007"/>
      </c:valAx>
    </c:plotArea>
    <c:legend>
      <c:legendPos val="r"/>
      <c:overlay val="0"/>
      <c:txPr>
        <a:bodyPr/>
        <a:lstStyle/>
        <a:p>
          <a:pPr lvl="0">
            <a:defRPr b="0">
              <a:solidFill>
                <a:srgbClr val="FFFFFF"/>
              </a:solidFill>
              <a:latin typeface="+mn-lt"/>
            </a:defRPr>
          </a:pPr>
        </a:p>
      </c:txPr>
    </c:legend>
    <c:plotVisOnly val="1"/>
  </c:chart>
  <c:spPr>
    <a:solidFill>
      <a:srgbClr val="050723"/>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'Estimates-on-the-use-of-water-('!$N$1</c:f>
            </c:strRef>
          </c:tx>
          <c:spPr>
            <a:solidFill>
              <a:schemeClr val="accent1"/>
            </a:solidFill>
            <a:ln cmpd="sng">
              <a:noFill/>
            </a:ln>
          </c:spPr>
          <c:invertIfNegative val="0"/>
          <c:cat>
            <c:strRef>
              <c:f>'Estimates-on-the-use-of-water-('!$AB$2:$AB$1000</c:f>
            </c:strRef>
          </c:cat>
          <c:val>
            <c:numRef>
              <c:f>'Estimates-on-the-use-of-water-('!$N$2:$N$1000</c:f>
              <c:numCache/>
            </c:numRef>
          </c:val>
        </c:ser>
        <c:ser>
          <c:idx val="1"/>
          <c:order val="1"/>
          <c:tx>
            <c:strRef>
              <c:f>'Estimates-on-the-use-of-water-('!$O$1</c:f>
            </c:strRef>
          </c:tx>
          <c:spPr>
            <a:solidFill>
              <a:schemeClr val="accent2"/>
            </a:solidFill>
            <a:ln cmpd="sng">
              <a:noFill/>
            </a:ln>
          </c:spPr>
          <c:invertIfNegative val="0"/>
          <c:cat>
            <c:strRef>
              <c:f>'Estimates-on-the-use-of-water-('!$AB$2:$AB$1000</c:f>
            </c:strRef>
          </c:cat>
          <c:val>
            <c:numRef>
              <c:f>'Estimates-on-the-use-of-water-('!$O$2:$O$1000</c:f>
              <c:numCache/>
            </c:numRef>
          </c:val>
        </c:ser>
        <c:ser>
          <c:idx val="2"/>
          <c:order val="2"/>
          <c:tx>
            <c:strRef>
              <c:f>'Estimates-on-the-use-of-water-('!$P$1</c:f>
            </c:strRef>
          </c:tx>
          <c:spPr>
            <a:solidFill>
              <a:schemeClr val="accent3"/>
            </a:solidFill>
            <a:ln cmpd="sng">
              <a:noFill/>
            </a:ln>
          </c:spPr>
          <c:invertIfNegative val="0"/>
          <c:cat>
            <c:strRef>
              <c:f>'Estimates-on-the-use-of-water-('!$AB$2:$AB$1000</c:f>
            </c:strRef>
          </c:cat>
          <c:val>
            <c:numRef>
              <c:f>'Estimates-on-the-use-of-water-('!$P$2:$P$1000</c:f>
              <c:numCache/>
            </c:numRef>
          </c:val>
        </c:ser>
        <c:ser>
          <c:idx val="3"/>
          <c:order val="3"/>
          <c:tx>
            <c:strRef>
              <c:f>'Estimates-on-the-use-of-water-('!$Q$1</c:f>
            </c:strRef>
          </c:tx>
          <c:spPr>
            <a:solidFill>
              <a:schemeClr val="accent4"/>
            </a:solidFill>
            <a:ln cmpd="sng">
              <a:noFill/>
            </a:ln>
          </c:spPr>
          <c:invertIfNegative val="0"/>
          <c:cat>
            <c:strRef>
              <c:f>'Estimates-on-the-use-of-water-('!$AB$2:$AB$1000</c:f>
            </c:strRef>
          </c:cat>
          <c:val>
            <c:numRef>
              <c:f>'Estimates-on-the-use-of-water-('!$Q$2:$Q$1000</c:f>
              <c:numCache/>
            </c:numRef>
          </c:val>
        </c:ser>
        <c:overlap val="100"/>
        <c:axId val="1216119394"/>
        <c:axId val="1535554435"/>
      </c:barChart>
      <c:catAx>
        <c:axId val="12161193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6F8F9"/>
                </a:solidFill>
                <a:latin typeface="+mn-lt"/>
              </a:defRPr>
            </a:pPr>
          </a:p>
        </c:txPr>
        <c:crossAx val="1535554435"/>
      </c:catAx>
      <c:valAx>
        <c:axId val="15355544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6F8F9"/>
                </a:solidFill>
                <a:latin typeface="+mn-lt"/>
              </a:defRPr>
            </a:pPr>
          </a:p>
        </c:txPr>
        <c:crossAx val="1216119394"/>
      </c:valAx>
    </c:plotArea>
    <c:legend>
      <c:legendPos val="r"/>
      <c:overlay val="0"/>
      <c:txPr>
        <a:bodyPr/>
        <a:lstStyle/>
        <a:p>
          <a:pPr lvl="0">
            <a:defRPr b="0">
              <a:solidFill>
                <a:srgbClr val="FFFFFF"/>
              </a:solidFill>
              <a:latin typeface="+mn-lt"/>
            </a:defRPr>
          </a:pPr>
        </a:p>
      </c:txPr>
    </c:legend>
    <c:plotVisOnly val="1"/>
  </c:chart>
  <c:spPr>
    <a:solidFill>
      <a:srgbClr val="050723"/>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'Estimates-on-the-use-of-water-('!$J$1</c:f>
            </c:strRef>
          </c:tx>
          <c:spPr>
            <a:solidFill>
              <a:schemeClr val="accent1"/>
            </a:solidFill>
            <a:ln cmpd="sng">
              <a:noFill/>
            </a:ln>
          </c:spPr>
          <c:invertIfNegative val="0"/>
          <c:cat>
            <c:strRef>
              <c:f>'Estimates-on-the-use-of-water-('!$AC$2:$AC$1000</c:f>
            </c:strRef>
          </c:cat>
          <c:val>
            <c:numRef>
              <c:f>'Estimates-on-the-use-of-water-('!$J$2:$J$1000</c:f>
              <c:numCache/>
            </c:numRef>
          </c:val>
        </c:ser>
        <c:ser>
          <c:idx val="1"/>
          <c:order val="1"/>
          <c:tx>
            <c:strRef>
              <c:f>'Estimates-on-the-use-of-water-('!$K$1</c:f>
            </c:strRef>
          </c:tx>
          <c:spPr>
            <a:solidFill>
              <a:schemeClr val="accent2"/>
            </a:solidFill>
            <a:ln cmpd="sng">
              <a:noFill/>
            </a:ln>
          </c:spPr>
          <c:invertIfNegative val="0"/>
          <c:cat>
            <c:strRef>
              <c:f>'Estimates-on-the-use-of-water-('!$AC$2:$AC$1000</c:f>
            </c:strRef>
          </c:cat>
          <c:val>
            <c:numRef>
              <c:f>'Estimates-on-the-use-of-water-('!$K$2:$K$1000</c:f>
              <c:numCache/>
            </c:numRef>
          </c:val>
        </c:ser>
        <c:ser>
          <c:idx val="2"/>
          <c:order val="2"/>
          <c:tx>
            <c:strRef>
              <c:f>'Estimates-on-the-use-of-water-('!$L$1</c:f>
            </c:strRef>
          </c:tx>
          <c:spPr>
            <a:solidFill>
              <a:schemeClr val="accent3"/>
            </a:solidFill>
            <a:ln cmpd="sng">
              <a:noFill/>
            </a:ln>
          </c:spPr>
          <c:invertIfNegative val="0"/>
          <c:cat>
            <c:strRef>
              <c:f>'Estimates-on-the-use-of-water-('!$AC$2:$AC$1000</c:f>
            </c:strRef>
          </c:cat>
          <c:val>
            <c:numRef>
              <c:f>'Estimates-on-the-use-of-water-('!$L$2:$L$1000</c:f>
              <c:numCache/>
            </c:numRef>
          </c:val>
        </c:ser>
        <c:ser>
          <c:idx val="3"/>
          <c:order val="3"/>
          <c:tx>
            <c:strRef>
              <c:f>'Estimates-on-the-use-of-water-('!$M$1</c:f>
            </c:strRef>
          </c:tx>
          <c:spPr>
            <a:solidFill>
              <a:schemeClr val="accent4"/>
            </a:solidFill>
            <a:ln cmpd="sng">
              <a:noFill/>
            </a:ln>
          </c:spPr>
          <c:invertIfNegative val="0"/>
          <c:cat>
            <c:strRef>
              <c:f>'Estimates-on-the-use-of-water-('!$AC$2:$AC$1000</c:f>
            </c:strRef>
          </c:cat>
          <c:val>
            <c:numRef>
              <c:f>'Estimates-on-the-use-of-water-('!$M$2:$M$1000</c:f>
              <c:numCache/>
            </c:numRef>
          </c:val>
        </c:ser>
        <c:overlap val="100"/>
        <c:axId val="66809358"/>
        <c:axId val="1278110668"/>
      </c:barChart>
      <c:catAx>
        <c:axId val="668093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6F8F9"/>
                </a:solidFill>
                <a:latin typeface="+mn-lt"/>
              </a:defRPr>
            </a:pPr>
          </a:p>
        </c:txPr>
        <c:crossAx val="1278110668"/>
      </c:catAx>
      <c:valAx>
        <c:axId val="12781106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6F8F9"/>
                </a:solidFill>
                <a:latin typeface="+mn-lt"/>
              </a:defRPr>
            </a:pPr>
          </a:p>
        </c:txPr>
        <c:crossAx val="66809358"/>
      </c:valAx>
    </c:plotArea>
    <c:legend>
      <c:legendPos val="r"/>
      <c:overlay val="0"/>
      <c:txPr>
        <a:bodyPr/>
        <a:lstStyle/>
        <a:p>
          <a:pPr lvl="0">
            <a:defRPr b="0">
              <a:solidFill>
                <a:schemeClr val="lt1"/>
              </a:solidFill>
              <a:latin typeface="+mn-lt"/>
            </a:defRPr>
          </a:pPr>
        </a:p>
      </c:txPr>
    </c:legend>
    <c:plotVisOnly val="1"/>
  </c:chart>
  <c:spPr>
    <a:solidFill>
      <a:srgbClr val="050723"/>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FFFFFF"/>
                </a:solidFill>
                <a:latin typeface="+mn-lt"/>
              </a:defRPr>
            </a:pPr>
            <a:r>
              <a:rPr b="1" sz="2000">
                <a:solidFill>
                  <a:srgbClr val="FFFFFF"/>
                </a:solidFill>
                <a:latin typeface="+mn-lt"/>
              </a:rPr>
              <a:t>Urban Water Access by Urban Population Share %</a:t>
            </a:r>
          </a:p>
        </c:rich>
      </c:tx>
      <c:overlay val="0"/>
    </c:title>
    <c:plotArea>
      <c:layout/>
      <c:barChart>
        <c:barDir val="col"/>
        <c:grouping val="percentStacked"/>
        <c:ser>
          <c:idx val="0"/>
          <c:order val="0"/>
          <c:tx>
            <c:strRef>
              <c:f>'Estimates-on-the-use-of-water-('!$N$1</c:f>
            </c:strRef>
          </c:tx>
          <c:spPr>
            <a:solidFill>
              <a:schemeClr val="accent1"/>
            </a:solidFill>
            <a:ln cmpd="sng">
              <a:noFill/>
            </a:ln>
          </c:spPr>
          <c:invertIfNegative val="0"/>
          <c:cat>
            <c:strRef>
              <c:f>'Estimates-on-the-use-of-water-('!$Y$2:$Y$1000</c:f>
            </c:strRef>
          </c:cat>
          <c:val>
            <c:numRef>
              <c:f>'Estimates-on-the-use-of-water-('!$N$2:$N$1000</c:f>
              <c:numCache/>
            </c:numRef>
          </c:val>
        </c:ser>
        <c:ser>
          <c:idx val="1"/>
          <c:order val="1"/>
          <c:tx>
            <c:strRef>
              <c:f>'Estimates-on-the-use-of-water-('!$O$1</c:f>
            </c:strRef>
          </c:tx>
          <c:spPr>
            <a:solidFill>
              <a:schemeClr val="accent2"/>
            </a:solidFill>
            <a:ln cmpd="sng">
              <a:noFill/>
            </a:ln>
          </c:spPr>
          <c:invertIfNegative val="0"/>
          <c:cat>
            <c:strRef>
              <c:f>'Estimates-on-the-use-of-water-('!$Y$2:$Y$1000</c:f>
            </c:strRef>
          </c:cat>
          <c:val>
            <c:numRef>
              <c:f>'Estimates-on-the-use-of-water-('!$O$2:$O$1000</c:f>
              <c:numCache/>
            </c:numRef>
          </c:val>
        </c:ser>
        <c:ser>
          <c:idx val="2"/>
          <c:order val="2"/>
          <c:tx>
            <c:strRef>
              <c:f>'Estimates-on-the-use-of-water-('!$P$1</c:f>
            </c:strRef>
          </c:tx>
          <c:spPr>
            <a:solidFill>
              <a:schemeClr val="accent3"/>
            </a:solidFill>
            <a:ln cmpd="sng">
              <a:noFill/>
            </a:ln>
          </c:spPr>
          <c:invertIfNegative val="0"/>
          <c:cat>
            <c:strRef>
              <c:f>'Estimates-on-the-use-of-water-('!$Y$2:$Y$1000</c:f>
            </c:strRef>
          </c:cat>
          <c:val>
            <c:numRef>
              <c:f>'Estimates-on-the-use-of-water-('!$P$2:$P$1000</c:f>
              <c:numCache/>
            </c:numRef>
          </c:val>
        </c:ser>
        <c:ser>
          <c:idx val="3"/>
          <c:order val="3"/>
          <c:tx>
            <c:strRef>
              <c:f>'Estimates-on-the-use-of-water-('!$Q$1</c:f>
            </c:strRef>
          </c:tx>
          <c:spPr>
            <a:solidFill>
              <a:schemeClr val="accent4"/>
            </a:solidFill>
            <a:ln cmpd="sng">
              <a:noFill/>
            </a:ln>
          </c:spPr>
          <c:invertIfNegative val="0"/>
          <c:cat>
            <c:strRef>
              <c:f>'Estimates-on-the-use-of-water-('!$Y$2:$Y$1000</c:f>
            </c:strRef>
          </c:cat>
          <c:val>
            <c:numRef>
              <c:f>'Estimates-on-the-use-of-water-('!$Q$2:$Q$1000</c:f>
              <c:numCache/>
            </c:numRef>
          </c:val>
        </c:ser>
        <c:overlap val="100"/>
        <c:axId val="526268976"/>
        <c:axId val="1377682212"/>
      </c:barChart>
      <c:catAx>
        <c:axId val="526268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6F8F9"/>
                </a:solidFill>
                <a:latin typeface="+mn-lt"/>
              </a:defRPr>
            </a:pPr>
          </a:p>
        </c:txPr>
        <c:crossAx val="1377682212"/>
      </c:catAx>
      <c:valAx>
        <c:axId val="13776822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6F8F9"/>
                </a:solidFill>
                <a:latin typeface="+mn-lt"/>
              </a:defRPr>
            </a:pPr>
          </a:p>
        </c:txPr>
        <c:crossAx val="526268976"/>
      </c:valAx>
    </c:plotArea>
    <c:legend>
      <c:legendPos val="r"/>
      <c:overlay val="0"/>
      <c:txPr>
        <a:bodyPr/>
        <a:lstStyle/>
        <a:p>
          <a:pPr lvl="0">
            <a:defRPr b="0">
              <a:solidFill>
                <a:srgbClr val="FFFFFF"/>
              </a:solidFill>
              <a:latin typeface="+mn-lt"/>
            </a:defRPr>
          </a:pPr>
        </a:p>
      </c:txPr>
    </c:legend>
    <c:plotVisOnly val="1"/>
  </c:chart>
  <c:spPr>
    <a:solidFill>
      <a:srgbClr val="050723"/>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FFFFFF"/>
                </a:solidFill>
                <a:latin typeface="+mn-lt"/>
              </a:defRPr>
            </a:pPr>
            <a:r>
              <a:rPr b="1" sz="2000">
                <a:solidFill>
                  <a:srgbClr val="FFFFFF"/>
                </a:solidFill>
                <a:latin typeface="+mn-lt"/>
              </a:rPr>
              <a:t>Rural Water Access by Rural Population Share %</a:t>
            </a:r>
          </a:p>
        </c:rich>
      </c:tx>
      <c:overlay val="0"/>
    </c:title>
    <c:plotArea>
      <c:layout/>
      <c:barChart>
        <c:barDir val="col"/>
        <c:grouping val="percentStacked"/>
        <c:ser>
          <c:idx val="0"/>
          <c:order val="0"/>
          <c:tx>
            <c:strRef>
              <c:f>'Estimates-on-the-use-of-water-('!$J$1</c:f>
            </c:strRef>
          </c:tx>
          <c:spPr>
            <a:solidFill>
              <a:schemeClr val="accent1"/>
            </a:solidFill>
            <a:ln cmpd="sng">
              <a:noFill/>
            </a:ln>
          </c:spPr>
          <c:invertIfNegative val="0"/>
          <c:cat>
            <c:strRef>
              <c:f>'Estimates-on-the-use-of-water-('!$Z$2:$Z$1000</c:f>
            </c:strRef>
          </c:cat>
          <c:val>
            <c:numRef>
              <c:f>'Estimates-on-the-use-of-water-('!$J$2:$J$1000</c:f>
              <c:numCache/>
            </c:numRef>
          </c:val>
        </c:ser>
        <c:ser>
          <c:idx val="1"/>
          <c:order val="1"/>
          <c:tx>
            <c:strRef>
              <c:f>'Estimates-on-the-use-of-water-('!$K$1</c:f>
            </c:strRef>
          </c:tx>
          <c:spPr>
            <a:solidFill>
              <a:schemeClr val="accent2"/>
            </a:solidFill>
            <a:ln cmpd="sng">
              <a:noFill/>
            </a:ln>
          </c:spPr>
          <c:invertIfNegative val="0"/>
          <c:cat>
            <c:strRef>
              <c:f>'Estimates-on-the-use-of-water-('!$Z$2:$Z$1000</c:f>
            </c:strRef>
          </c:cat>
          <c:val>
            <c:numRef>
              <c:f>'Estimates-on-the-use-of-water-('!$K$2:$K$1000</c:f>
              <c:numCache/>
            </c:numRef>
          </c:val>
        </c:ser>
        <c:ser>
          <c:idx val="2"/>
          <c:order val="2"/>
          <c:tx>
            <c:strRef>
              <c:f>'Estimates-on-the-use-of-water-('!$L$1</c:f>
            </c:strRef>
          </c:tx>
          <c:spPr>
            <a:solidFill>
              <a:schemeClr val="accent3"/>
            </a:solidFill>
            <a:ln cmpd="sng">
              <a:noFill/>
            </a:ln>
          </c:spPr>
          <c:invertIfNegative val="0"/>
          <c:cat>
            <c:strRef>
              <c:f>'Estimates-on-the-use-of-water-('!$Z$2:$Z$1000</c:f>
            </c:strRef>
          </c:cat>
          <c:val>
            <c:numRef>
              <c:f>'Estimates-on-the-use-of-water-('!$L$2:$L$1000</c:f>
              <c:numCache/>
            </c:numRef>
          </c:val>
        </c:ser>
        <c:ser>
          <c:idx val="3"/>
          <c:order val="3"/>
          <c:tx>
            <c:strRef>
              <c:f>'Estimates-on-the-use-of-water-('!$M$1</c:f>
            </c:strRef>
          </c:tx>
          <c:spPr>
            <a:solidFill>
              <a:schemeClr val="accent4"/>
            </a:solidFill>
            <a:ln cmpd="sng">
              <a:noFill/>
            </a:ln>
          </c:spPr>
          <c:invertIfNegative val="0"/>
          <c:cat>
            <c:strRef>
              <c:f>'Estimates-on-the-use-of-water-('!$Z$2:$Z$1000</c:f>
            </c:strRef>
          </c:cat>
          <c:val>
            <c:numRef>
              <c:f>'Estimates-on-the-use-of-water-('!$M$2:$M$1000</c:f>
              <c:numCache/>
            </c:numRef>
          </c:val>
        </c:ser>
        <c:overlap val="100"/>
        <c:axId val="700551254"/>
        <c:axId val="83694558"/>
      </c:barChart>
      <c:catAx>
        <c:axId val="700551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6F8F9"/>
                </a:solidFill>
                <a:latin typeface="+mn-lt"/>
              </a:defRPr>
            </a:pPr>
          </a:p>
        </c:txPr>
        <c:crossAx val="83694558"/>
      </c:catAx>
      <c:valAx>
        <c:axId val="836945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6F8F9"/>
                </a:solidFill>
                <a:latin typeface="+mn-lt"/>
              </a:defRPr>
            </a:pPr>
          </a:p>
        </c:txPr>
        <c:crossAx val="700551254"/>
      </c:valAx>
    </c:plotArea>
    <c:legend>
      <c:legendPos val="r"/>
      <c:overlay val="0"/>
      <c:txPr>
        <a:bodyPr/>
        <a:lstStyle/>
        <a:p>
          <a:pPr lvl="0">
            <a:defRPr b="0">
              <a:solidFill>
                <a:schemeClr val="lt1"/>
              </a:solidFill>
              <a:latin typeface="+mn-lt"/>
            </a:defRPr>
          </a:pPr>
        </a:p>
      </c:txPr>
    </c:legend>
    <c:plotVisOnly val="1"/>
  </c:chart>
  <c:spPr>
    <a:solidFill>
      <a:srgbClr val="050723"/>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FFFF"/>
                </a:solidFill>
                <a:latin typeface="+mn-lt"/>
              </a:defRPr>
            </a:pPr>
            <a:r>
              <a:rPr b="1" sz="3000">
                <a:solidFill>
                  <a:srgbClr val="FFFFFF"/>
                </a:solidFill>
                <a:latin typeface="+mn-lt"/>
              </a:rPr>
              <a:t>ACCESS_TO_WATER_SERVICES</a:t>
            </a:r>
          </a:p>
        </c:rich>
      </c:tx>
      <c:overlay val="0"/>
    </c:title>
    <c:plotArea>
      <c:layout/>
      <c:stockChart>
        <c:ser>
          <c:idx val="0"/>
          <c:order val="0"/>
          <c:tx>
            <c:strRef>
              <c:f>'Global 2020 Report.'!$C$99</c:f>
            </c:strRef>
          </c:tx>
          <c:spPr>
            <a:ln cmpd="sng">
              <a:noFill/>
            </a:ln>
          </c:spPr>
          <c:marker>
            <c:symbol val="none"/>
          </c:marker>
          <c:cat>
            <c:strRef>
              <c:f>'Global 2020 Report.'!$A$100:$A$111</c:f>
            </c:strRef>
          </c:cat>
          <c:val>
            <c:numRef>
              <c:f>'Global 2020 Report.'!$C$100:$C$111</c:f>
              <c:numCache/>
            </c:numRef>
          </c:val>
          <c:smooth val="0"/>
        </c:ser>
        <c:ser>
          <c:idx val="1"/>
          <c:order val="1"/>
          <c:tx>
            <c:strRef>
              <c:f>'Global 2020 Report.'!$E$99</c:f>
            </c:strRef>
          </c:tx>
          <c:spPr>
            <a:ln cmpd="sng">
              <a:noFill/>
            </a:ln>
          </c:spPr>
          <c:marker>
            <c:symbol val="none"/>
          </c:marker>
          <c:cat>
            <c:strRef>
              <c:f>'Global 2020 Report.'!$A$100:$A$111</c:f>
            </c:strRef>
          </c:cat>
          <c:val>
            <c:numRef>
              <c:f>'Global 2020 Report.'!$E$100:$E$111</c:f>
              <c:numCache/>
            </c:numRef>
          </c:val>
          <c:smooth val="0"/>
        </c:ser>
        <c:ser>
          <c:idx val="2"/>
          <c:order val="2"/>
          <c:tx>
            <c:strRef>
              <c:f>'Global 2020 Report.'!$B$99</c:f>
            </c:strRef>
          </c:tx>
          <c:spPr>
            <a:ln cmpd="sng">
              <a:noFill/>
            </a:ln>
          </c:spPr>
          <c:marker>
            <c:symbol val="none"/>
          </c:marker>
          <c:cat>
            <c:strRef>
              <c:f>'Global 2020 Report.'!$A$100:$A$111</c:f>
            </c:strRef>
          </c:cat>
          <c:val>
            <c:numRef>
              <c:f>'Global 2020 Report.'!$B$100:$B$111</c:f>
              <c:numCache/>
            </c:numRef>
          </c:val>
          <c:smooth val="0"/>
        </c:ser>
        <c:ser>
          <c:idx val="3"/>
          <c:order val="3"/>
          <c:tx>
            <c:strRef>
              <c:f>'Global 2020 Report.'!$D$99</c:f>
            </c:strRef>
          </c:tx>
          <c:spPr>
            <a:ln cmpd="sng">
              <a:noFill/>
            </a:ln>
          </c:spPr>
          <c:marker>
            <c:symbol val="none"/>
          </c:marker>
          <c:cat>
            <c:strRef>
              <c:f>'Global 2020 Report.'!$A$100:$A$111</c:f>
            </c:strRef>
          </c:cat>
          <c:val>
            <c:numRef>
              <c:f>'Global 2020 Report.'!$D$100:$D$111</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499819097"/>
        <c:axId val="1135187076"/>
      </c:stockChart>
      <c:catAx>
        <c:axId val="499819097"/>
        <c:scaling>
          <c:orientation val="minMax"/>
        </c:scaling>
        <c:delete val="0"/>
        <c:axPos val="b"/>
        <c:title>
          <c:tx>
            <c:rich>
              <a:bodyPr/>
              <a:lstStyle/>
              <a:p>
                <a:pPr lvl="0">
                  <a:defRPr b="1" i="1" sz="2000">
                    <a:solidFill>
                      <a:srgbClr val="FF0000"/>
                    </a:solidFill>
                    <a:latin typeface="+mn-lt"/>
                  </a:defRPr>
                </a:pPr>
                <a:r>
                  <a:rPr b="1" i="1" sz="2000">
                    <a:solidFill>
                      <a:srgbClr val="FF0000"/>
                    </a:solidFill>
                    <a:latin typeface="+mn-lt"/>
                  </a:rPr>
                  <a:t>NATIONAL,                                        URBAN,                                                        RURAL</a:t>
                </a:r>
              </a:p>
            </c:rich>
          </c:tx>
          <c:overlay val="0"/>
        </c:title>
        <c:numFmt formatCode="General" sourceLinked="1"/>
        <c:majorTickMark val="none"/>
        <c:minorTickMark val="none"/>
        <c:spPr>
          <a:ln>
            <a:noFill/>
          </a:ln>
        </c:spPr>
        <c:txPr>
          <a:bodyPr/>
          <a:lstStyle/>
          <a:p>
            <a:pPr lvl="0">
              <a:defRPr b="0" sz="2000">
                <a:solidFill>
                  <a:srgbClr val="FFFFFF"/>
                </a:solidFill>
                <a:latin typeface="+mn-lt"/>
              </a:defRPr>
            </a:pPr>
          </a:p>
        </c:txPr>
        <c:crossAx val="1135187076"/>
      </c:catAx>
      <c:valAx>
        <c:axId val="1135187076"/>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2000">
                <a:solidFill>
                  <a:srgbClr val="FFFFFF"/>
                </a:solidFill>
                <a:latin typeface="+mn-lt"/>
              </a:defRPr>
            </a:pPr>
          </a:p>
        </c:txPr>
        <c:crossAx val="499819097"/>
      </c:valAx>
    </c:plotArea>
    <c:legend>
      <c:legendPos val="r"/>
      <c:overlay val="0"/>
      <c:txPr>
        <a:bodyPr/>
        <a:lstStyle/>
        <a:p>
          <a:pPr lvl="0">
            <a:defRPr b="0">
              <a:solidFill>
                <a:srgbClr val="1A1A1A"/>
              </a:solidFill>
              <a:latin typeface="+mn-lt"/>
            </a:defRPr>
          </a:pPr>
        </a:p>
      </c:txPr>
    </c:legend>
    <c:plotVisOnly val="1"/>
  </c:chart>
  <c:spPr>
    <a:solidFill>
      <a:srgbClr val="20124D"/>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FFFFFF"/>
                </a:solidFill>
                <a:latin typeface="+mn-lt"/>
              </a:defRPr>
            </a:pPr>
            <a:r>
              <a:rPr b="1" sz="3000">
                <a:solidFill>
                  <a:srgbClr val="FFFFFF"/>
                </a:solidFill>
                <a:latin typeface="+mn-lt"/>
              </a:rPr>
              <a:t>Distribution of Water Access Service Levels Across National, Urban and Rural Areas</a:t>
            </a:r>
          </a:p>
        </c:rich>
      </c:tx>
      <c:overlay val="0"/>
    </c:title>
    <c:plotArea>
      <c:layout/>
      <c:stockChart>
        <c:ser>
          <c:idx val="0"/>
          <c:order val="0"/>
          <c:tx>
            <c:strRef>
              <c:f>'Global 2020 Report.'!$C$99</c:f>
            </c:strRef>
          </c:tx>
          <c:spPr>
            <a:ln cmpd="sng">
              <a:noFill/>
            </a:ln>
          </c:spPr>
          <c:marker>
            <c:symbol val="none"/>
          </c:marker>
          <c:cat>
            <c:strRef>
              <c:f>'Global 2020 Report.'!$A$100:$A$111</c:f>
            </c:strRef>
          </c:cat>
          <c:val>
            <c:numRef>
              <c:f>'Global 2020 Report.'!$C$100:$C$111</c:f>
              <c:numCache/>
            </c:numRef>
          </c:val>
          <c:smooth val="0"/>
        </c:ser>
        <c:ser>
          <c:idx val="1"/>
          <c:order val="1"/>
          <c:tx>
            <c:strRef>
              <c:f>'Global 2020 Report.'!$E$99</c:f>
            </c:strRef>
          </c:tx>
          <c:spPr>
            <a:ln cmpd="sng">
              <a:noFill/>
            </a:ln>
          </c:spPr>
          <c:marker>
            <c:symbol val="none"/>
          </c:marker>
          <c:cat>
            <c:strRef>
              <c:f>'Global 2020 Report.'!$A$100:$A$111</c:f>
            </c:strRef>
          </c:cat>
          <c:val>
            <c:numRef>
              <c:f>'Global 2020 Report.'!$E$100:$E$111</c:f>
              <c:numCache/>
            </c:numRef>
          </c:val>
          <c:smooth val="0"/>
        </c:ser>
        <c:ser>
          <c:idx val="2"/>
          <c:order val="2"/>
          <c:tx>
            <c:strRef>
              <c:f>'Global 2020 Report.'!$B$99</c:f>
            </c:strRef>
          </c:tx>
          <c:spPr>
            <a:ln cmpd="sng">
              <a:noFill/>
            </a:ln>
          </c:spPr>
          <c:marker>
            <c:symbol val="none"/>
          </c:marker>
          <c:cat>
            <c:strRef>
              <c:f>'Global 2020 Report.'!$A$100:$A$111</c:f>
            </c:strRef>
          </c:cat>
          <c:val>
            <c:numRef>
              <c:f>'Global 2020 Report.'!$B$100:$B$111</c:f>
              <c:numCache/>
            </c:numRef>
          </c:val>
          <c:smooth val="0"/>
        </c:ser>
        <c:ser>
          <c:idx val="3"/>
          <c:order val="3"/>
          <c:tx>
            <c:strRef>
              <c:f>'Global 2020 Report.'!$D$99</c:f>
            </c:strRef>
          </c:tx>
          <c:spPr>
            <a:ln cmpd="sng">
              <a:noFill/>
            </a:ln>
          </c:spPr>
          <c:marker>
            <c:symbol val="none"/>
          </c:marker>
          <c:cat>
            <c:strRef>
              <c:f>'Global 2020 Report.'!$A$100:$A$111</c:f>
            </c:strRef>
          </c:cat>
          <c:val>
            <c:numRef>
              <c:f>'Global 2020 Report.'!$D$100:$D$111</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2055477614"/>
        <c:axId val="1325560115"/>
      </c:stockChart>
      <c:catAx>
        <c:axId val="2055477614"/>
        <c:scaling>
          <c:orientation val="minMax"/>
        </c:scaling>
        <c:delete val="0"/>
        <c:axPos val="b"/>
        <c:title>
          <c:tx>
            <c:rich>
              <a:bodyPr/>
              <a:lstStyle/>
              <a:p>
                <a:pPr lvl="0">
                  <a:defRPr b="1" i="1" sz="2000">
                    <a:solidFill>
                      <a:srgbClr val="FF0000"/>
                    </a:solidFill>
                    <a:latin typeface="+mn-lt"/>
                  </a:defRPr>
                </a:pPr>
                <a:r>
                  <a:rPr b="1" i="1" sz="2000">
                    <a:solidFill>
                      <a:srgbClr val="FF0000"/>
                    </a:solidFill>
                    <a:latin typeface="+mn-lt"/>
                  </a:rPr>
                  <a:t>NATIONAL,                                        URBAN,                                                        RURAL</a:t>
                </a:r>
              </a:p>
            </c:rich>
          </c:tx>
          <c:overlay val="0"/>
        </c:title>
        <c:numFmt formatCode="General" sourceLinked="1"/>
        <c:majorTickMark val="none"/>
        <c:minorTickMark val="none"/>
        <c:spPr>
          <a:ln>
            <a:noFill/>
          </a:ln>
        </c:spPr>
        <c:txPr>
          <a:bodyPr/>
          <a:lstStyle/>
          <a:p>
            <a:pPr lvl="0">
              <a:defRPr b="0" sz="2000">
                <a:solidFill>
                  <a:srgbClr val="FFFFFF"/>
                </a:solidFill>
                <a:latin typeface="+mn-lt"/>
              </a:defRPr>
            </a:pPr>
          </a:p>
        </c:txPr>
        <c:crossAx val="1325560115"/>
      </c:catAx>
      <c:valAx>
        <c:axId val="1325560115"/>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2000">
                <a:solidFill>
                  <a:srgbClr val="FFFFFF"/>
                </a:solidFill>
                <a:latin typeface="+mn-lt"/>
              </a:defRPr>
            </a:pPr>
          </a:p>
        </c:txPr>
        <c:crossAx val="2055477614"/>
      </c:valAx>
    </c:plotArea>
    <c:legend>
      <c:legendPos val="r"/>
      <c:overlay val="0"/>
      <c:txPr>
        <a:bodyPr/>
        <a:lstStyle/>
        <a:p>
          <a:pPr lvl="0">
            <a:defRPr b="0">
              <a:solidFill>
                <a:srgbClr val="1A1A1A"/>
              </a:solidFill>
              <a:latin typeface="+mn-lt"/>
            </a:defRPr>
          </a:pPr>
        </a:p>
      </c:txPr>
    </c:legend>
    <c:plotVisOnly val="1"/>
  </c:chart>
  <c:spPr>
    <a:solidFill>
      <a:srgbClr val="20124D"/>
    </a:solidFill>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3.png"/><Relationship Id="rId3"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Chart4.png"/><Relationship Id="rId3" Type="http://schemas.openxmlformats.org/officeDocument/2006/relationships/chart" Target="../charts/chart4.xml"/><Relationship Id="rId4" Type="http://schemas.openxmlformats.org/officeDocument/2006/relationships/chart" Target="../charts/chart5.xml"/><Relationship Id="rId11" Type="http://schemas.openxmlformats.org/officeDocument/2006/relationships/chart" Target="../charts/chart12.xml"/><Relationship Id="rId10" Type="http://schemas.openxmlformats.org/officeDocument/2006/relationships/chart" Target="../charts/chart11.xml"/><Relationship Id="rId9" Type="http://schemas.openxmlformats.org/officeDocument/2006/relationships/chart" Target="../charts/chart10.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image" Target="../media/Chart8.png"/><Relationship Id="rId2" Type="http://schemas.openxmlformats.org/officeDocument/2006/relationships/image" Target="../media/Chart18.png"/><Relationship Id="rId3" Type="http://schemas.openxmlformats.org/officeDocument/2006/relationships/image" Target="../media/Chart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28575</xdr:rowOff>
    </xdr:from>
    <xdr:ext cx="8696325" cy="4276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51</xdr:row>
      <xdr:rowOff>190500</xdr:rowOff>
    </xdr:from>
    <xdr:ext cx="6362700" cy="3533775"/>
    <xdr:pic>
      <xdr:nvPicPr>
        <xdr:cNvPr id="790215443"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80</xdr:row>
      <xdr:rowOff>28575</xdr:rowOff>
    </xdr:from>
    <xdr:ext cx="6429375"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0</xdr:row>
      <xdr:rowOff>0</xdr:rowOff>
    </xdr:from>
    <xdr:ext cx="8515350" cy="35433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371475</xdr:colOff>
      <xdr:row>0</xdr:row>
      <xdr:rowOff>0</xdr:rowOff>
    </xdr:from>
    <xdr:ext cx="8515350" cy="3543300"/>
    <xdr:pic>
      <xdr:nvPicPr>
        <xdr:cNvPr id="76315569"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38100</xdr:colOff>
      <xdr:row>52</xdr:row>
      <xdr:rowOff>238125</xdr:rowOff>
    </xdr:from>
    <xdr:ext cx="5086350" cy="3143250"/>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228600</xdr:colOff>
      <xdr:row>79</xdr:row>
      <xdr:rowOff>57150</xdr:rowOff>
    </xdr:from>
    <xdr:ext cx="5153025" cy="3143250"/>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123825</xdr:colOff>
      <xdr:row>29</xdr:row>
      <xdr:rowOff>266700</xdr:rowOff>
    </xdr:from>
    <xdr:ext cx="5257800" cy="324802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114</xdr:row>
      <xdr:rowOff>28575</xdr:rowOff>
    </xdr:from>
    <xdr:ext cx="15611475" cy="4686300"/>
    <xdr:graphicFrame>
      <xdr:nvGraphicFramePr>
        <xdr:cNvPr id="12"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139</xdr:row>
      <xdr:rowOff>28575</xdr:rowOff>
    </xdr:from>
    <xdr:ext cx="15611475" cy="4686300"/>
    <xdr:graphicFrame>
      <xdr:nvGraphicFramePr>
        <xdr:cNvPr id="13" name="Chart 1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38100</xdr:colOff>
      <xdr:row>162</xdr:row>
      <xdr:rowOff>190500</xdr:rowOff>
    </xdr:from>
    <xdr:ext cx="9867900" cy="3314700"/>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180</xdr:row>
      <xdr:rowOff>57150</xdr:rowOff>
    </xdr:from>
    <xdr:ext cx="9944100" cy="4010025"/>
    <xdr:graphicFrame>
      <xdr:nvGraphicFramePr>
        <xdr:cNvPr id="15" name="Chart 15"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9</xdr:col>
      <xdr:colOff>933450</xdr:colOff>
      <xdr:row>163</xdr:row>
      <xdr:rowOff>95250</xdr:rowOff>
    </xdr:from>
    <xdr:ext cx="9867900" cy="3314700"/>
    <xdr:graphicFrame>
      <xdr:nvGraphicFramePr>
        <xdr:cNvPr id="16" name="Chart 16"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10</xdr:col>
      <xdr:colOff>0</xdr:colOff>
      <xdr:row>181</xdr:row>
      <xdr:rowOff>57150</xdr:rowOff>
    </xdr:from>
    <xdr:ext cx="9944100" cy="4010025"/>
    <xdr:graphicFrame>
      <xdr:nvGraphicFramePr>
        <xdr:cNvPr id="17" name="Chart 17" title="Chart"/>
        <xdr:cNvGraphicFramePr/>
      </xdr:nvGraphicFramePr>
      <xdr:xfrm>
        <a:off x="0" y="0"/>
        <a:ext cx="0" cy="0"/>
      </xdr:xfrm>
      <a:graphic>
        <a:graphicData uri="http://schemas.openxmlformats.org/drawingml/2006/chart">
          <c:chart r:id="rId1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0</xdr:rowOff>
    </xdr:from>
    <xdr:ext cx="12849225" cy="78581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15611475" cy="4686300"/>
    <xdr:pic>
      <xdr:nvPicPr>
        <xdr:cNvPr id="1338364373" name="Chart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27</xdr:row>
      <xdr:rowOff>66675</xdr:rowOff>
    </xdr:from>
    <xdr:ext cx="10801350" cy="4010025"/>
    <xdr:pic>
      <xdr:nvPicPr>
        <xdr:cNvPr id="2125220963" name="Chart1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38100</xdr:colOff>
      <xdr:row>27</xdr:row>
      <xdr:rowOff>66675</xdr:rowOff>
    </xdr:from>
    <xdr:ext cx="10201275" cy="4010025"/>
    <xdr:pic>
      <xdr:nvPicPr>
        <xdr:cNvPr id="1681579704" name="Chart19"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1228725</xdr:rowOff>
    </xdr:from>
    <xdr:ext cx="4067175" cy="7439025"/>
    <xdr:grpSp>
      <xdr:nvGrpSpPr>
        <xdr:cNvPr id="2" name="Shape 2" title="Drawing"/>
        <xdr:cNvGrpSpPr/>
      </xdr:nvGrpSpPr>
      <xdr:grpSpPr>
        <a:xfrm>
          <a:off x="5267200" y="288925"/>
          <a:ext cx="4045200" cy="7419300"/>
          <a:chOff x="5267200" y="288925"/>
          <a:chExt cx="4045200" cy="7419300"/>
        </a:xfrm>
      </xdr:grpSpPr>
      <xdr:sp>
        <xdr:nvSpPr>
          <xdr:cNvPr id="3" name="Shape 3"/>
          <xdr:cNvSpPr/>
        </xdr:nvSpPr>
        <xdr:spPr>
          <a:xfrm>
            <a:off x="5267200" y="288925"/>
            <a:ext cx="4045200" cy="7419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aphicFrame>
        <xdr:nvGraphicFramePr>
          <xdr:cNvPr id="4" name="Shape 4"/>
          <xdr:cNvGraphicFramePr/>
        </xdr:nvGraphicFramePr>
        <xdr:xfrm>
          <a:off x="5711850" y="371825"/>
          <a:ext cx="3000000" cy="3000000"/>
        </xdr:xfrm>
        <a:graphic>
          <a:graphicData uri="http://schemas.openxmlformats.org/drawingml/2006/table">
            <a:tbl>
              <a:tblPr>
                <a:noFill/>
                <a:tableStyleId>{41744063-56A8-4474-9D2B-EB3A5F1ADBF3}</a:tableStyleId>
              </a:tblPr>
              <a:tblGrid>
                <a:gridCol w="1301825"/>
                <a:gridCol w="2014750"/>
              </a:tblGrid>
              <a:tr h="638675">
                <a:tc>
                  <a:txBody>
                    <a:bodyPr/>
                    <a:lstStyle/>
                    <a:p>
                      <a:pPr indent="0" lvl="0" marL="0" rtl="0" algn="ctr">
                        <a:lnSpc>
                          <a:spcPct val="115000"/>
                        </a:lnSpc>
                        <a:spcBef>
                          <a:spcPts val="0"/>
                        </a:spcBef>
                        <a:spcAft>
                          <a:spcPts val="0"/>
                        </a:spcAft>
                        <a:buNone/>
                      </a:pPr>
                      <a:r>
                        <a:rPr b="1" lang="en-US" sz="1100"/>
                        <a:t>Statistic</a:t>
                      </a:r>
                      <a:endParaRPr b="1" sz="1100"/>
                    </a:p>
                  </a:txBody>
                  <a:tcPr marT="91425" marB="91425" marR="91425" marL="91425">
                    <a:solidFill>
                      <a:srgbClr val="FFFFFF"/>
                    </a:solidFill>
                  </a:tcPr>
                </a:tc>
                <a:tc>
                  <a:txBody>
                    <a:bodyPr/>
                    <a:lstStyle/>
                    <a:p>
                      <a:pPr indent="0" lvl="0" marL="0" rtl="0" algn="ctr">
                        <a:lnSpc>
                          <a:spcPct val="115000"/>
                        </a:lnSpc>
                        <a:spcBef>
                          <a:spcPts val="0"/>
                        </a:spcBef>
                        <a:spcAft>
                          <a:spcPts val="0"/>
                        </a:spcAft>
                        <a:buNone/>
                      </a:pPr>
                      <a:r>
                        <a:rPr b="1" lang="en-US" sz="1100"/>
                        <a:t>Excel Function</a:t>
                      </a:r>
                      <a:endParaRPr b="1" sz="1100"/>
                    </a:p>
                  </a:txBody>
                  <a:tcPr marT="91425" marB="91425" marR="91425" marL="91425">
                    <a:solidFill>
                      <a:srgbClr val="FFFFFF"/>
                    </a:solidFill>
                  </a:tcPr>
                </a:tc>
              </a:tr>
              <a:tr h="671275">
                <a:tc>
                  <a:txBody>
                    <a:bodyPr/>
                    <a:lstStyle/>
                    <a:p>
                      <a:pPr indent="0" lvl="0" marL="0" rtl="0" algn="l">
                        <a:spcBef>
                          <a:spcPts val="0"/>
                        </a:spcBef>
                        <a:spcAft>
                          <a:spcPts val="0"/>
                        </a:spcAft>
                        <a:buNone/>
                      </a:pPr>
                      <a:r>
                        <a:rPr lang="en-US" sz="1400"/>
                        <a:t>Mean</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=AVERAGE(range)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671275">
                <a:tc>
                  <a:txBody>
                    <a:bodyPr/>
                    <a:lstStyle/>
                    <a:p>
                      <a:pPr indent="0" lvl="0" marL="0" rtl="0" algn="l">
                        <a:spcBef>
                          <a:spcPts val="0"/>
                        </a:spcBef>
                        <a:spcAft>
                          <a:spcPts val="0"/>
                        </a:spcAft>
                        <a:buNone/>
                      </a:pPr>
                      <a:r>
                        <a:rPr lang="en-US" sz="1400"/>
                        <a:t>Median</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=MEDIAN(range)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671275">
                <a:tc>
                  <a:txBody>
                    <a:bodyPr/>
                    <a:lstStyle/>
                    <a:p>
                      <a:pPr indent="0" lvl="0" marL="0" rtl="0" algn="l">
                        <a:spcBef>
                          <a:spcPts val="0"/>
                        </a:spcBef>
                        <a:spcAft>
                          <a:spcPts val="0"/>
                        </a:spcAft>
                        <a:buNone/>
                      </a:pPr>
                      <a:r>
                        <a:rPr lang="en-US" sz="1400"/>
                        <a:t>Mode</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=MODE.SNGL(range)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671275">
                <a:tc>
                  <a:txBody>
                    <a:bodyPr/>
                    <a:lstStyle/>
                    <a:p>
                      <a:pPr indent="0" lvl="0" marL="0" rtl="0" algn="l">
                        <a:spcBef>
                          <a:spcPts val="0"/>
                        </a:spcBef>
                        <a:spcAft>
                          <a:spcPts val="0"/>
                        </a:spcAft>
                        <a:buNone/>
                      </a:pPr>
                      <a:r>
                        <a:rPr lang="en-US" sz="1400"/>
                        <a:t>Minimum</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=MIN(range)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671275">
                <a:tc>
                  <a:txBody>
                    <a:bodyPr/>
                    <a:lstStyle/>
                    <a:p>
                      <a:pPr indent="0" lvl="0" marL="0" rtl="0" algn="l">
                        <a:spcBef>
                          <a:spcPts val="0"/>
                        </a:spcBef>
                        <a:spcAft>
                          <a:spcPts val="0"/>
                        </a:spcAft>
                        <a:buNone/>
                      </a:pPr>
                      <a:r>
                        <a:rPr lang="en-US" sz="1400"/>
                        <a:t>Maximum</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=MAX(range)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1029750">
                <a:tc>
                  <a:txBody>
                    <a:bodyPr/>
                    <a:lstStyle/>
                    <a:p>
                      <a:pPr indent="0" lvl="0" marL="0" rtl="0" algn="l">
                        <a:spcBef>
                          <a:spcPts val="0"/>
                        </a:spcBef>
                        <a:spcAft>
                          <a:spcPts val="0"/>
                        </a:spcAft>
                        <a:buNone/>
                      </a:pPr>
                      <a:r>
                        <a:rPr lang="en-US" sz="1400"/>
                        <a:t>Standard Deviation</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=STDEV.S(range)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671275">
                <a:tc>
                  <a:txBody>
                    <a:bodyPr/>
                    <a:lstStyle/>
                    <a:p>
                      <a:pPr indent="0" lvl="0" marL="0" rtl="0" algn="l">
                        <a:spcBef>
                          <a:spcPts val="0"/>
                        </a:spcBef>
                        <a:spcAft>
                          <a:spcPts val="0"/>
                        </a:spcAft>
                        <a:buNone/>
                      </a:pPr>
                      <a:r>
                        <a:rPr lang="en-US" sz="1400"/>
                        <a:t>Variance</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=VAR.S(range)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671275">
                <a:tc>
                  <a:txBody>
                    <a:bodyPr/>
                    <a:lstStyle/>
                    <a:p>
                      <a:pPr indent="0" lvl="0" marL="0" rtl="0" algn="l">
                        <a:spcBef>
                          <a:spcPts val="0"/>
                        </a:spcBef>
                        <a:spcAft>
                          <a:spcPts val="0"/>
                        </a:spcAft>
                        <a:buNone/>
                      </a:pPr>
                      <a:r>
                        <a:rPr lang="en-US" sz="1400"/>
                        <a:t>Count</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=COUNT(range)</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r h="899400">
                <a:tc>
                  <a:txBody>
                    <a:bodyPr/>
                    <a:lstStyle/>
                    <a:p>
                      <a:pPr indent="0" lvl="0" marL="0" rtl="0" algn="l">
                        <a:spcBef>
                          <a:spcPts val="0"/>
                        </a:spcBef>
                        <a:spcAft>
                          <a:spcPts val="0"/>
                        </a:spcAft>
                        <a:buNone/>
                      </a:pPr>
                      <a:r>
                        <a:rPr lang="en-US" sz="1400"/>
                        <a:t>Quartile</a:t>
                      </a:r>
                      <a:endParaRPr sz="1400"/>
                    </a:p>
                  </a:txBody>
                  <a:tcPr marT="91425" marB="91425" marR="91425" marL="91425">
                    <a:solidFill>
                      <a:srgbClr val="FFFFFF"/>
                    </a:solidFill>
                  </a:tcPr>
                </a:tc>
                <a:tc>
                  <a:txBody>
                    <a:bodyPr/>
                    <a:lstStyle/>
                    <a:p>
                      <a:pPr indent="0" lvl="0" marL="0" rtl="0" algn="l">
                        <a:spcBef>
                          <a:spcPts val="0"/>
                        </a:spcBef>
                        <a:spcAft>
                          <a:spcPts val="0"/>
                        </a:spcAft>
                        <a:buNone/>
                      </a:pPr>
                      <a:r>
                        <a:rPr lang="en-US" sz="1100">
                          <a:solidFill>
                            <a:srgbClr val="188038"/>
                          </a:solidFill>
                          <a:latin typeface="Roboto Mono"/>
                          <a:ea typeface="Roboto Mono"/>
                          <a:cs typeface="Roboto Mono"/>
                          <a:sym typeface="Roboto Mono"/>
                        </a:rPr>
                        <a:t>=QUARTILE.INC(range, quart)</a:t>
                      </a:r>
                      <a:endParaRPr sz="1100">
                        <a:solidFill>
                          <a:srgbClr val="188038"/>
                        </a:solidFill>
                        <a:latin typeface="Roboto Mono"/>
                        <a:ea typeface="Roboto Mono"/>
                        <a:cs typeface="Roboto Mono"/>
                        <a:sym typeface="Roboto Mono"/>
                      </a:endParaRPr>
                    </a:p>
                  </a:txBody>
                  <a:tcPr marT="91425" marB="91425" marR="91425" marL="91425">
                    <a:solidFill>
                      <a:srgbClr val="FFFFFF"/>
                    </a:solidFill>
                  </a:tcPr>
                </a:tc>
              </a:tr>
            </a:tbl>
          </a:graphicData>
        </a:graphic>
      </xdr:graphicFrame>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aya Ayomide" id="{645a71e6-704e-4f01-b9a9-266522cf233e}"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I1000" sheet="Estimates-on-the-use-of-water-("/>
  </cacheSource>
  <cacheFields>
    <cacheField name="name" numFmtId="0">
      <sharedItems containsBlank="1">
        <s v="Tokelau"/>
        <s v="Niue"/>
        <s v="Falkland Islands (Malvinas)"/>
        <s v="Montserrat"/>
        <s v="Saint Pierre and Miquelon"/>
        <s v="Saint Helena"/>
        <s v="Saint Barthelemy"/>
        <s v="Nauru"/>
        <s v="Wallis and Futuna Islands"/>
        <s v="Tuvalu"/>
        <s v="Cook Islands"/>
        <s v="Palau"/>
        <s v="British Virgin Islands"/>
        <s v="Gibraltar"/>
        <s v="San Marino"/>
        <s v="Liechtenstein"/>
        <s v="Saint Martin (French part)"/>
        <s v="Monaco"/>
        <s v="Faeroe Islands"/>
        <s v="American Samoa"/>
        <s v="Greenland"/>
        <s v="Northern Mariana Islands"/>
        <s v="Marshall Islands"/>
        <s v="Bermuda"/>
        <s v="Andorra"/>
        <s v="Isle of Man"/>
        <s v="United States Virgin Islands"/>
        <s v="Tonga"/>
        <s v="Kiribati"/>
        <s v="Guam"/>
        <s v="Saint Lucia"/>
        <s v="Samoa"/>
        <s v="Sao Tome and Principe"/>
        <s v="Mayotte"/>
        <s v="French Polynesia"/>
        <s v="New Caledonia"/>
        <s v="Barbados"/>
        <s v="French Guiana"/>
        <s v="Vanuatu"/>
        <s v="Iceland"/>
        <s v="Martinique"/>
        <s v="Belize"/>
        <s v="Guadeloupe"/>
        <s v="Brunei Darussalam"/>
        <s v="Malta"/>
        <s v="Maldives"/>
        <s v="Cabo Verde"/>
        <s v="Suriname"/>
        <s v="Luxembourg"/>
        <s v="Montenegro"/>
        <s v="China, Macao SAR"/>
        <s v="Solomon Islands"/>
        <s v="Bhutan"/>
        <s v="Guyana"/>
        <s v="Réunion"/>
        <s v="Fiji"/>
        <s v="Djibouti"/>
        <s v="Eswatini"/>
        <s v="Cyprus"/>
        <s v="Mauritius"/>
        <s v="Timor-Leste"/>
        <s v="Estonia"/>
        <s v="Trinidad and Tobago"/>
        <s v="Bahrain"/>
        <s v="Latvia"/>
        <s v="Guinea-Bissau"/>
        <s v="Slovenia"/>
        <s v="North Macedonia"/>
        <s v="Lesotho"/>
        <s v="Gabon"/>
        <s v="Botswana"/>
        <s v="Gambia"/>
        <s v="Namibia"/>
        <s v="Lithuania"/>
        <s v="Puerto Rico"/>
        <s v="Albania"/>
        <s v="Qatar"/>
        <s v="Jamaica"/>
        <s v="Armenia"/>
        <s v="Mongolia"/>
        <s v="Bosnia and Herzegovina"/>
        <s v="Uruguay"/>
        <s v="Georgia"/>
        <s v="Republic of Moldova"/>
        <s v="Croatia"/>
        <s v="Kuwait"/>
        <s v="Panama"/>
        <s v="Mauritania"/>
        <s v="New Zealand"/>
        <s v="Central African Republic"/>
        <s v="Ireland"/>
        <s v="Liberia"/>
        <s v="Costa Rica"/>
        <s v="West Bank and Gaza Strip"/>
        <s v="Oman"/>
        <s v="Norway"/>
        <s v="Slovakia"/>
        <s v="Congo"/>
        <s v="Finland"/>
        <s v="Denmark"/>
        <s v="Singapore"/>
        <s v="Turkmenistan"/>
        <s v="El Salvador"/>
        <s v="Kyrgyzstan"/>
        <s v="Nicaragua"/>
        <s v="Lebanon"/>
        <s v="Libya"/>
        <s v="Bulgaria"/>
        <s v="Paraguay"/>
        <s v="Lao People's Democratic Republic"/>
        <s v="China, Hong Kong SAR"/>
        <s v="Sierra Leone"/>
        <s v="Togo"/>
        <s v="Switzerland"/>
        <s v="Israel"/>
        <s v="Serbia"/>
        <s v="Papua New Guinea"/>
        <s v="Austria"/>
        <s v="Belarus"/>
        <s v="Tajikistan"/>
        <s v="Hungary"/>
        <s v="United Arab Emirates"/>
        <s v="Honduras"/>
        <s v="Sweden"/>
        <s v="Azerbaijan"/>
        <s v="Portugal"/>
        <s v="Jordan"/>
        <s v="Greece"/>
        <s v="Czech Republic"/>
        <s v="Dominican Republic"/>
        <s v="South Sudan"/>
        <s v="Cuba"/>
        <s v="Haiti"/>
        <s v="Belgium"/>
        <s v="Bolivia (Plurinational State of)"/>
        <s v="Tunisia"/>
        <s v="Burundi"/>
        <s v="Benin"/>
        <s v="Rwanda"/>
        <s v="Guinea"/>
        <s v="Zimbabwe"/>
        <s v="Somalia"/>
        <s v="Chad"/>
        <s v="Cambodia"/>
        <s v="Senegal"/>
        <s v="Netherlands"/>
        <s v="Syrian Arab Republic"/>
        <s v="Ecuador"/>
        <s v="Guatemala"/>
        <s v="Zambia"/>
        <s v="Kazakhstan"/>
        <s v="Chile"/>
        <s v="Malawi"/>
        <s v="Romania"/>
        <s v="Mali"/>
        <s v="Burkina Faso"/>
        <s v="Sri Lanka"/>
        <s v="Niger"/>
        <s v="Australia"/>
        <s v="Democratic People's Republic of Korea"/>
        <s v="Côte d'Ivoire"/>
        <s v="Cameroon"/>
        <s v="Madagascar"/>
        <s v="Venezuela (Bolivarian Republic of)"/>
        <s v="Nepal"/>
        <s v="Yemen"/>
        <s v="Ghana"/>
        <s v="Mozambique"/>
        <s v="Malaysia"/>
        <s v="Angola"/>
        <s v="Peru"/>
        <s v="Uzbekistan"/>
        <s v="Saudi Arabia"/>
        <s v="Morocco"/>
        <s v="Canada"/>
        <s v="Poland"/>
        <s v="Afghanistan"/>
        <s v="Iraq"/>
        <s v="Ukraine"/>
        <s v="Sudan"/>
        <s v="Algeria"/>
        <s v="Argentina"/>
        <s v="Uganda"/>
        <s v="Spain"/>
        <s v="Colombia"/>
        <s v="Republic of Korea"/>
        <s v="Kenya"/>
        <s v="Myanmar"/>
        <s v="South Africa"/>
        <s v="United Republic of Tanzania"/>
        <s v="Italy"/>
        <s v="France"/>
        <s v="United Kingdom"/>
        <s v="Thailand"/>
        <s v="Germany"/>
        <s v="Iran (Islamic Republic of)"/>
        <s v="Turkey"/>
        <s v="Democratic Republic of the Congo"/>
        <s v="Viet Nam"/>
        <s v="Egypt"/>
        <s v="Philippines"/>
        <s v="Ethiopia"/>
        <s v="Japan"/>
        <s v="Mexico"/>
        <s v="Russian Federation"/>
        <s v="Bangladesh"/>
        <s v="Nigeria"/>
        <s v="Brazil"/>
        <s v="Pakistan"/>
        <s v="Indonesia"/>
        <s v="United States of America"/>
        <s v="India"/>
        <s v="China"/>
        <m/>
      </sharedItems>
    </cacheField>
    <cacheField name="income_group" numFmtId="0">
      <sharedItems containsBlank="1">
        <s v="NAN"/>
        <s v="High income"/>
        <s v="Upper middle income"/>
        <s v="Lower middle income"/>
        <s v="Low income"/>
        <m/>
      </sharedItems>
    </cacheField>
    <cacheField name="income_group_num">
      <sharedItems containsMixedTypes="1" containsNumber="1" containsInteger="1">
        <n v="0.0"/>
        <n v="4.0"/>
        <n v="3.0"/>
        <n v="2.0"/>
        <n v="1.0"/>
        <s v=""/>
      </sharedItems>
    </cacheField>
    <cacheField name="pop_n (th)" numFmtId="0">
      <sharedItems containsString="0" containsBlank="1" containsNumber="1">
        <n v="1.350000024"/>
        <n v="1.618000031"/>
        <n v="3.48300004"/>
        <n v="4.999000072"/>
        <n v="5.795000076"/>
        <n v="6.071000099"/>
        <n v="9.885"/>
        <n v="10.83399963"/>
        <n v="11.24600029"/>
        <n v="11.79199982"/>
        <n v="17.56399918"/>
        <n v="18.09199905"/>
        <n v="30.23699951"/>
        <n v="33.69100189"/>
        <n v="33.93799973"/>
        <n v="38.13700104"/>
        <n v="38.659"/>
        <n v="39.24399948"/>
        <n v="48.86500168"/>
        <n v="55.1969986"/>
        <n v="56.77199936"/>
        <n v="57.55699921"/>
        <n v="59.19400024"/>
        <n v="62.27299881"/>
        <n v="77.26499939"/>
        <n v="85.03199768"/>
        <n v="104.4229965"/>
        <n v="105.6969986"/>
        <n v="119.4459991"/>
        <n v="168.7830048"/>
        <n v="183.6289978"/>
        <n v="198.4100037"/>
        <n v="219.1609955"/>
        <n v="272.8129883"/>
        <n v="280.9039917"/>
        <n v="285.4909973"/>
        <n v="287.3710022"/>
        <n v="298.6820068"/>
        <n v="307.1499939"/>
        <n v="341.25"/>
        <n v="375.2650146"/>
        <n v="397.6210022"/>
        <n v="400.1270142"/>
        <n v="437.4830017"/>
        <n v="441.5390015"/>
        <n v="540.5419922"/>
        <n v="555.9879761"/>
        <n v="586.6339722"/>
        <n v="625.9760132"/>
        <n v="628.0620117"/>
        <n v="649.34198"/>
        <n v="686.8779907"/>
        <n v="771.6119995"/>
        <n v="786.559021"/>
        <n v="895.3079834"/>
        <n v="896.4439697"/>
        <n v="988.0020142"/>
        <n v="1160.16394"/>
        <n v="1207.360962"/>
        <n v="1271.766968"/>
        <n v="1318.442017"/>
        <n v="1326.53894"/>
        <n v="1399.490967"/>
        <n v="1701.583008"/>
        <n v="1886.202026"/>
        <n v="1967.998047"/>
        <n v="2078.931885"/>
        <n v="2083.379883"/>
        <n v="2142.251953"/>
        <n v="2225.728027"/>
        <n v="2351.625"/>
        <n v="2416.664063"/>
        <n v="2540.916016"/>
        <n v="2722.291016"/>
        <n v="2860.840088"/>
        <n v="2877.800049"/>
        <n v="2881.060059"/>
        <n v="2961.160889"/>
        <n v="2963.233887"/>
        <n v="3278.291992"/>
        <n v="3280.814941"/>
        <n v="3473.727051"/>
        <n v="3989.175049"/>
        <n v="4033.962891"/>
        <n v="4105.268066"/>
        <n v="4270.562988"/>
        <n v="4314.768066"/>
        <n v="4649.660156"/>
        <n v="4822.23291"/>
        <n v="4829.76416"/>
        <n v="4937.795898"/>
        <n v="5057.676758"/>
        <n v="5094.11377"/>
        <n v="5101.416016"/>
        <n v="5106.62207"/>
        <n v="5421.242188"/>
        <n v="5459.643066"/>
        <n v="5518.091797"/>
        <n v="5540.717773"/>
        <n v="5792.203125"/>
        <n v="5850.342773"/>
        <n v="6031.187012"/>
        <n v="6486.201172"/>
        <n v="6524.190918"/>
        <n v="6624.554199"/>
        <n v="6825.441895"/>
        <n v="6871.287109"/>
        <n v="6948.444824"/>
        <n v="7132.529785"/>
        <n v="7275.556152"/>
        <n v="7496.987793"/>
        <n v="7976.984863"/>
        <n v="8278.737305"/>
        <n v="8654.618164"/>
        <n v="8655.541016"/>
        <n v="8737.370117"/>
        <n v="8947.027344"/>
        <n v="9006.400391"/>
        <n v="9449.321289"/>
        <n v="9537.641602"/>
        <n v="9660.349609"/>
        <n v="9890.400391"/>
        <n v="9904.608398"/>
        <n v="10099.26953"/>
        <n v="10139.1748"/>
        <n v="10196.70703"/>
        <n v="10203.13965"/>
        <n v="10423.05566"/>
        <n v="10708.98242"/>
        <n v="10847.9043"/>
        <n v="11193.72852"/>
        <n v="11326.61621"/>
        <n v="11402.5332"/>
        <n v="11589.61621"/>
        <n v="11673.0293"/>
        <n v="11818.61816"/>
        <n v="11890.78125"/>
        <n v="12123.19824"/>
        <n v="12952.20898"/>
        <n v="13132.79199"/>
        <n v="14862.92676"/>
        <n v="15893.21875"/>
        <n v="16425.85938"/>
        <n v="16718.9707"/>
        <n v="16743.92969"/>
        <n v="17134.87305"/>
        <n v="17500.65625"/>
        <n v="17643.06055"/>
        <n v="17915.56641"/>
        <n v="18383.95508"/>
        <n v="18776.70703"/>
        <n v="19116.20898"/>
        <n v="19129.95508"/>
        <n v="19237.68164"/>
        <n v="20250.83398"/>
        <n v="20903.27734"/>
        <n v="21413.25"/>
        <n v="24206.63672"/>
        <n v="25499.88086"/>
        <n v="25778.81445"/>
        <n v="26378.27539"/>
        <n v="26545.86328"/>
        <n v="27691.01953"/>
        <n v="28435.94336"/>
        <n v="29136.80859"/>
        <n v="29825.96875"/>
        <n v="31072.94531"/>
        <n v="31255.43555"/>
        <n v="32365.99805"/>
        <n v="32866.26953"/>
        <n v="32971.84766"/>
        <n v="33469.19922"/>
        <n v="34813.86719"/>
        <n v="36910.55859"/>
        <n v="37742.15625"/>
        <n v="37846.60547"/>
        <n v="38928.33984"/>
        <n v="40222.50391"/>
        <n v="43733.75781"/>
        <n v="43849.26953"/>
        <n v="43851.04297"/>
        <n v="45195.77734"/>
        <n v="45741.0"/>
        <n v="46754.78125"/>
        <n v="50882.88281"/>
        <n v="51269.18359"/>
        <n v="53771.30078"/>
        <n v="54409.79297"/>
        <n v="59308.69141"/>
        <n v="59734.21484"/>
        <n v="60461.82813"/>
        <n v="65273.51172"/>
        <n v="67886.00781"/>
        <n v="69799.97656"/>
        <n v="83783.94531"/>
        <n v="83992.95313"/>
        <n v="84339.07031"/>
        <n v="89561.40625"/>
        <n v="97338.58594"/>
        <n v="102334.4063"/>
        <n v="109581.0859"/>
        <n v="114963.5859"/>
        <n v="126476.4609"/>
        <n v="128932.75"/>
        <n v="145934.4531"/>
        <n v="164689.3906"/>
        <n v="206139.5938"/>
        <n v="212559.4063"/>
        <n v="220892.3281"/>
        <n v="273523.625"/>
        <n v="331002.6563"/>
        <n v="1380004.375"/>
        <n v="1463140.5"/>
        <m/>
      </sharedItems>
    </cacheField>
    <cacheField name="pop_u %" numFmtId="0">
      <sharedItems containsString="0" containsBlank="1" containsNumber="1">
        <n v="0.0"/>
        <n v="46.20200348"/>
        <n v="78.50799561"/>
        <n v="9.114999771"/>
        <n v="89.96199799"/>
        <n v="40.08200073"/>
        <n v="100.0"/>
        <n v="64.01399994"/>
        <n v="75.49500275"/>
        <n v="80.98799896"/>
        <n v="48.51499939"/>
        <n v="97.49900055"/>
        <n v="14.41600037"/>
        <n v="42.39799881"/>
        <n v="87.15299988"/>
        <n v="87.28200531"/>
        <n v="91.79799652"/>
        <n v="77.79399109"/>
        <n v="87.91600037"/>
        <n v="52.89800262"/>
        <n v="95.93900299"/>
        <n v="23.09899902"/>
        <n v="55.59399796"/>
        <n v="94.93800354"/>
        <n v="18.8409996"/>
        <n v="17.88899994"/>
        <n v="74.35400391"/>
        <n v="45.75099945"/>
        <n v="61.97500229"/>
        <n v="71.51799774"/>
        <n v="31.19099998"/>
        <n v="85.81999969"/>
        <n v="25.52500153"/>
        <n v="93.897995"/>
        <n v="89.13999939"/>
        <n v="46.02500153"/>
        <n v="98.49899292"/>
        <n v="78.25000763"/>
        <n v="94.7440033"/>
        <n v="40.66899872"/>
        <n v="66.65200043"/>
        <n v="66.14900208"/>
        <n v="91.4529953"/>
        <n v="67.48800659"/>
        <n v="24.67000008"/>
        <n v="42.31599808"/>
        <n v="26.7859993"/>
        <n v="99.65900421"/>
        <n v="57.24700546"/>
        <n v="78.06199646"/>
        <n v="24.17100143"/>
        <n v="66.82099915"/>
        <n v="40.75999832"/>
        <n v="31.31999969"/>
        <n v="69.22900391"/>
        <n v="53.2140007"/>
        <n v="89.50600433"/>
        <n v="68.31500244"/>
        <n v="44.19599915"/>
        <n v="55.11800385"/>
        <n v="58.48199844"/>
        <n v="29.02799988"/>
        <n v="90.09200287"/>
        <n v="70.8769989"/>
        <n v="62.58199692"/>
        <n v="52.03300095"/>
        <n v="68.04599762"/>
        <n v="93.58100128"/>
        <n v="62.11199951"/>
        <n v="99.23500061"/>
        <n v="56.31100082"/>
        <n v="63.31299973"/>
        <n v="68.65699768"/>
        <n v="49.02000046"/>
        <n v="95.51499939"/>
        <n v="59.4529953"/>
        <n v="42.84900284"/>
        <n v="57.55299759"/>
        <n v="68.41400146"/>
        <n v="55.32699585"/>
        <n v="86.6989975"/>
        <n v="42.19799805"/>
        <n v="63.65299988"/>
        <n v="52.08899689"/>
        <n v="80.77099609"/>
        <n v="76.71899414"/>
        <n v="86.27599335"/>
        <n v="82.97399139"/>
        <n v="53.75999832"/>
        <n v="67.82900238"/>
        <n v="85.51700592"/>
        <n v="88.11600494"/>
        <n v="52.51600266"/>
        <n v="73.44400024"/>
        <n v="36.85599899"/>
        <n v="59.01200104"/>
        <n v="88.92499542"/>
        <n v="80.69100189"/>
        <n v="75.68599701"/>
        <n v="62.18299484"/>
        <n v="36.29000092"/>
        <n v="42.92300034"/>
        <n v="42.79999924"/>
        <n v="73.91500092"/>
        <n v="92.58699799"/>
        <n v="56.44599915"/>
        <n v="13.34500027"/>
        <n v="58.7480011"/>
        <n v="79.48300171"/>
        <n v="27.50599861"/>
        <n v="71.94200134"/>
        <n v="87.04799652"/>
        <n v="58.35899734"/>
        <n v="87.97699738"/>
        <n v="56.39700317"/>
        <n v="66.30999756"/>
        <n v="91.41799927"/>
        <n v="79.71500397"/>
        <n v="74.06100464"/>
        <n v="82.54000092"/>
        <n v="20.1989994"/>
        <n v="77.19400024"/>
        <n v="57.08799744"/>
        <n v="98.07899475"/>
        <n v="70.1230011"/>
        <n v="69.56800079"/>
        <n v="13.70800018"/>
        <n v="48.4149971"/>
        <n v="17.43200111"/>
        <n v="36.875"/>
        <n v="32.24200058"/>
        <n v="46.14099884"/>
        <n v="23.52000046"/>
        <n v="24.23200035"/>
        <n v="48.12200165"/>
        <n v="92.23600006"/>
        <n v="55.47500229"/>
        <n v="64.16600037"/>
        <n v="51.83599854"/>
        <n v="44.6289978"/>
        <n v="57.67100143"/>
        <n v="87.72699738"/>
        <n v="17.42700005"/>
        <n v="54.19400024"/>
        <n v="43.90900421"/>
        <n v="30.60700035"/>
        <n v="18.71299934"/>
        <n v="16.62599945"/>
        <n v="86.24099731"/>
        <n v="62.38100052"/>
        <n v="51.70599747"/>
        <n v="57.56000519"/>
        <n v="38.5340004"/>
        <n v="88.27899933"/>
        <n v="20.57600021"/>
        <n v="37.90799713"/>
        <n v="57.34899902"/>
        <n v="37.0739975"/>
        <n v="77.15999603"/>
        <n v="66.82499695"/>
        <n v="78.2970047"/>
        <n v="50.41599655"/>
        <n v="84.28700256"/>
        <n v="63.53199768"/>
        <n v="81.56200409"/>
        <n v="60.04300308"/>
        <n v="26.02599907"/>
        <n v="70.89299774"/>
        <n v="69.60800171"/>
        <n v="35.25299835"/>
        <n v="73.73300171"/>
        <n v="92.11100006"/>
        <n v="24.95400047"/>
        <n v="80.80999756"/>
        <n v="81.42499542"/>
        <n v="81.41400146"/>
        <n v="27.99499893"/>
        <n v="31.14100075"/>
        <n v="67.35400391"/>
        <n v="35.22700119"/>
        <n v="71.03899384"/>
        <n v="80.97499847"/>
        <n v="83.90299988"/>
        <n v="51.43000031"/>
        <n v="77.45300293"/>
        <n v="75.87400055"/>
        <n v="76.10500336"/>
        <n v="45.63800049"/>
        <n v="37.34000015"/>
        <n v="42.78300095"/>
        <n v="47.40799713"/>
        <n v="21.69499969"/>
        <n v="91.78199768"/>
        <n v="80.73099518"/>
        <n v="74.75400543"/>
        <n v="38.17700195"/>
        <n v="51.95800018"/>
        <n v="87.07299805"/>
        <n v="37.16500092"/>
        <n v="56.64099884"/>
        <n v="82.66400146"/>
        <n v="34.9260025"/>
        <n v="61.71308899"/>
        <m/>
      </sharedItems>
    </cacheField>
    <cacheField name="wat_bas_n">
      <sharedItems containsBlank="1" containsMixedTypes="1" containsNumber="1">
        <n v="99.70767665"/>
        <n v="97.01087618"/>
        <n v="95.3089274"/>
        <n v="98.07748262"/>
        <n v="91.4"/>
        <n v="99.1"/>
        <n v="100.0"/>
        <n v="99.14328736"/>
        <n v="99.97161022"/>
        <n v="99.6575455"/>
        <n v="99.86438356"/>
        <n v="99.99927139"/>
        <n v="99.77377166"/>
        <n v="100.0000017"/>
        <n v="88.57204698"/>
        <n v="99.90314002"/>
        <n v="100.0000037"/>
        <n v="99.075"/>
        <n v="98.71826738"/>
        <n v="98.73108083"/>
        <n v="77.97092085"/>
        <n v="99.6952"/>
        <n v="96.88784457"/>
        <n v="91.83772455"/>
        <n v="78.22645516"/>
        <n v="96.37117971"/>
        <n v="99.30532057"/>
        <n v="98.51445042"/>
        <n v="93.78221635"/>
        <n v="91.23119075"/>
        <n v="99.99999721"/>
        <n v="99.84197078"/>
        <n v="98.40195463"/>
        <n v="99.80312604"/>
        <n v="99.9000368"/>
        <n v="100.0000004"/>
        <n v="99.5444386"/>
        <n v="88.76960642"/>
        <n v="97.98963167"/>
        <n v="99.87993254"/>
        <n v="98.85691652"/>
        <n v="67.30102554"/>
        <n v="97.31322263"/>
        <n v="95.55480685"/>
        <n v="94.30106524"/>
        <n v="76.04992021"/>
        <n v="70.75307095"/>
        <n v="99.76517318"/>
        <n v="99.8662547"/>
        <n v="85.4956012"/>
        <n v="99.59078178"/>
        <n v="98.87517077"/>
        <n v="98.78260115"/>
        <n v="59.01691221"/>
        <n v="99.5"/>
        <n v="97.74281579"/>
        <n v="72.17603927"/>
        <n v="85.3419306"/>
        <n v="92.21356307"/>
        <n v="80.94040714"/>
        <n v="84.27003628"/>
        <n v="98.01334724"/>
        <n v="95.06803883"/>
        <n v="99.56810194"/>
        <n v="91.0299445"/>
        <n v="99.97118069"/>
        <n v="85.49562527"/>
        <n v="96.11389762"/>
        <n v="99.49575756"/>
        <n v="97.3481397"/>
        <n v="90.56996224"/>
        <s v="NAN"/>
        <n v="94.37254436"/>
        <n v="71.68104923"/>
        <n v="100.0000013"/>
        <n v="37.20240205"/>
        <n v="97.39970651"/>
        <n v="75.26179159"/>
        <n v="99.81053693"/>
        <n v="97.88039722"/>
        <n v="92.16802469"/>
        <n v="99.9999955"/>
        <n v="99.78769858"/>
        <n v="73.78451158"/>
        <n v="100.0000033"/>
        <n v="100.0000011"/>
        <n v="97.94657541"/>
        <n v="91.69930522"/>
        <n v="81.7087538"/>
        <n v="92.6"/>
        <n v="99.8915238"/>
        <n v="99.01141694"/>
        <n v="99.59346633"/>
        <n v="85.21974318"/>
        <n v="63.76628562"/>
        <n v="68.58372009"/>
        <n v="100.0000028"/>
        <n v="95.29552932"/>
        <n v="45.34401752"/>
        <n v="96.53472608"/>
        <n v="81.85241502"/>
        <n v="99.99999747"/>
        <n v="99.965596"/>
        <n v="95.68922113"/>
        <n v="99.82686763"/>
        <n v="96.04337613"/>
        <n v="99.91199367"/>
        <n v="98.94030296"/>
        <n v="100.0000023"/>
        <n v="99.88059167"/>
        <n v="96.68681192"/>
        <n v="40.95092717"/>
        <n v="97.00269616"/>
        <n v="66.6953084"/>
        <n v="99.99999645"/>
        <n v="93.39007163"/>
        <n v="97.54330899"/>
        <n v="62.20712225"/>
        <n v="65.41412299"/>
        <n v="60.41450115"/>
        <n v="63.96178874"/>
        <n v="62.66645761"/>
        <n v="56.47697339"/>
        <n v="46.18753479"/>
        <n v="71.21988497"/>
        <n v="84.90523779"/>
        <n v="99.99999929"/>
        <n v="93.92585718"/>
        <n v="95.35976356"/>
        <n v="94.00642827"/>
        <n v="65.41238357"/>
        <n v="95.43497032"/>
        <n v="99.99999872"/>
        <n v="70.04772851"/>
        <n v="82.54729103"/>
        <n v="47.21485446"/>
        <n v="92.22757937"/>
        <n v="46.91179747"/>
        <n v="99.96981182"/>
        <n v="93.84384303"/>
        <n v="70.90907039"/>
        <n v="65.72041818"/>
        <n v="53.38588491"/>
        <n v="93.68580071"/>
        <n v="90.07454179"/>
        <n v="60.66356984"/>
        <n v="85.79099665"/>
        <n v="63.36942563"/>
        <n v="97.09990707"/>
        <n v="57.16773762"/>
        <n v="93.13936621"/>
        <n v="97.82878485"/>
        <n v="90.40234468"/>
        <n v="99.22181066"/>
        <n v="99.96659155"/>
        <n v="75.09141325"/>
        <n v="98.35990325"/>
        <n v="93.92828195"/>
        <n v="60.4486756"/>
        <n v="94.43732996"/>
        <n v="55.85504921"/>
        <n v="99.92561261"/>
        <n v="97.49165711"/>
        <n v="99.93139665"/>
        <n v="61.63289158"/>
        <n v="83.71819191"/>
        <n v="93.88505744"/>
        <n v="60.71679759"/>
        <n v="99.91703407"/>
        <n v="99.9999985"/>
        <n v="99.99999856"/>
        <n v="97.48263633"/>
        <n v="97.01426916"/>
        <n v="45.95212696"/>
        <n v="96.88435687"/>
        <n v="99.44017596"/>
        <n v="94.10903456"/>
        <n v="49.61557274"/>
        <n v="99.07891245"/>
        <n v="99.67956828"/>
        <n v="96.99254807"/>
        <n v="97.69796025"/>
        <n v="77.60905338"/>
        <n v="99.32085299"/>
        <n v="90.14896508"/>
        <n v="92.41534961"/>
        <n v="99.88352668"/>
        <n v="90.48952503"/>
        <n v="94.26111059"/>
        <m/>
      </sharedItems>
    </cacheField>
    <cacheField name="wat_lim_n">
      <sharedItems containsBlank="1" containsMixedTypes="1" containsNumber="1">
        <n v="0.0"/>
        <n v="11.387979"/>
        <n v="0.8814972962"/>
        <n v="4.076899625"/>
        <n v="1.815652166"/>
        <n v="6.520899952"/>
        <n v="20.23798298"/>
        <n v="0.2676005761"/>
        <n v="1.06238505"/>
        <n v="1.249110629"/>
        <n v="0.0480506913"/>
        <n v="7.904150846"/>
        <n v="1.067246941"/>
        <n v="0.5454788204"/>
        <n v="5.79547831"/>
        <n v="2.460712607"/>
        <n v="1.205244408"/>
        <n v="14.7574817"/>
        <n v="9.507067163"/>
        <n v="1.88586597"/>
        <n v="1.124829231"/>
        <n v="0.6823007424"/>
        <n v="14.03457137"/>
        <n v="1.63499414"/>
        <n v="10.40592597"/>
        <n v="7.735263103"/>
        <n v="4.72303897"/>
        <n v="8.597391391"/>
        <n v="7.08762751"/>
        <n v="1.884656092"/>
        <n v="5.367570914"/>
        <n v="2.14642893"/>
        <n v="3.823663938"/>
        <n v="0.5042424412"/>
        <n v="1.519776762"/>
        <s v="NAN"/>
        <n v="1.873480592"/>
        <n v="13.47689193"/>
        <n v="25.68237348"/>
        <n v="8.700657475"/>
        <n v="0.1894594746"/>
        <n v="1.029979486"/>
        <n v="7.541419893"/>
        <n v="0.2123014241"/>
        <n v="10.46117203"/>
        <n v="0.2072632319"/>
        <n v="1.900734111"/>
        <n v="1.506645682"/>
        <n v="7.4"/>
        <n v="0.4065302439"/>
        <n v="3.566857739"/>
        <n v="9.023316357"/>
        <n v="6.065434765"/>
        <n v="4.244199279"/>
        <n v="2.128564452"/>
        <n v="3.37211955"/>
        <n v="2.568363935"/>
        <n v="0.4256206085"/>
        <n v="1.04278118"/>
        <n v="0.1462147369"/>
        <n v="0.4670386504"/>
        <n v="37.42696287"/>
        <n v="1.471384542"/>
        <n v="9.814543652"/>
        <n v="0.1365905296"/>
        <n v="1.63135067"/>
        <n v="19.43969314"/>
        <n v="9.317535586"/>
        <n v="22.3207193"/>
        <n v="21.2815915"/>
        <n v="14.1975397"/>
        <n v="27.70419956"/>
        <n v="14.74028929"/>
        <n v="13.90222204"/>
        <n v="2.387217509"/>
        <n v="5.873730768"/>
        <n v="0.003451463449"/>
        <n v="1.034150511"/>
        <n v="6.15393902"/>
        <n v="1.941425039"/>
        <n v="21.95081497"/>
        <n v="3.854734527"/>
        <n v="31.2730034"/>
        <n v="0.5954581495"/>
        <n v="21.6538987"/>
        <n v="0.6831311872"/>
        <n v="8.935421702"/>
        <n v="12.87474863"/>
        <n v="2.71797298"/>
        <n v="0.4707829181"/>
        <n v="3.979825725"/>
        <n v="28.9627418"/>
        <n v="6.586062113"/>
        <n v="9.975784507"/>
        <n v="0.3545396865"/>
        <n v="9.287349919"/>
        <n v="0.8495593511"/>
        <n v="5.263549601"/>
        <n v="1.447541688"/>
        <n v="0.8921603495"/>
        <n v="5.671978717"/>
        <n v="26.67001975"/>
        <n v="4.985880842"/>
        <n v="27.28286"/>
        <n v="0.1861521591"/>
        <n v="9.54187005"/>
        <n v="1.595436949"/>
        <n v="2.772736186"/>
        <n v="11.29007067"/>
        <n v="1.938311229"/>
        <n v="2.023078075"/>
        <n v="13.44122447"/>
        <n v="0.2376091086"/>
        <n v="2.856486137"/>
        <n v="26.74071964"/>
        <n v="0.6219963766"/>
        <n v="1.156425878"/>
        <n v="4.979399343"/>
        <n v="0.1265490039"/>
        <n v="3.822279525"/>
        <n v="0.8554746335"/>
        <n v="4.983602562"/>
        <n v="0.8147213297"/>
        <m/>
      </sharedItems>
    </cacheField>
    <cacheField name="wat_unimp_n">
      <sharedItems containsBlank="1" containsMixedTypes="1" containsNumber="1">
        <n v="0.2923233459"/>
        <n v="2.989123822"/>
        <n v="4.691072596"/>
        <n v="1.922517378"/>
        <n v="8.6"/>
        <n v="0.9"/>
        <n v="0.0"/>
        <n v="0.856712639"/>
        <n v="0.0283897827"/>
        <n v="0.3424544984"/>
        <n v="0.1356164384"/>
        <n v="7.286105507E-4"/>
        <n v="0.2262283415"/>
        <n v="0.03997402585"/>
        <n v="0.09685998294"/>
        <n v="0.925"/>
        <n v="1.281732624"/>
        <n v="0.3874218777"/>
        <n v="17.95217953"/>
        <n v="0.3048"/>
        <n v="1.296503269"/>
        <n v="1.418623428"/>
        <n v="0.4435199284"/>
        <n v="3.628820295"/>
        <n v="0.6946794278"/>
        <n v="1.217949005"/>
        <n v="6.217783652"/>
        <n v="2.794650015E-6"/>
        <n v="0.1580292158"/>
        <n v="0.3489347411"/>
        <n v="0.1968739613"/>
        <n v="0.09996320036"/>
        <n v="0.407510705"/>
        <n v="3.209147716"/>
        <n v="0.3793365073"/>
        <n v="0.1200674649"/>
        <n v="0.592312011"/>
        <n v="21.26784313"/>
        <n v="0.1764242183"/>
        <n v="1.143069849"/>
        <n v="3.318602766"/>
        <n v="7.015876051"/>
        <n v="9.835567931"/>
        <n v="0.2348268167"/>
        <n v="0.1337453014"/>
        <n v="8.360029397"/>
        <n v="0.4092182232"/>
        <n v="0.5350981037"/>
        <n v="26.6263769"/>
        <n v="0.5"/>
        <n v="0.5742284762"/>
        <n v="12.21725464"/>
        <n v="6.922808357"/>
        <n v="1.732526476"/>
        <n v="10.35285207"/>
        <n v="3.740143722"/>
        <n v="1.98665276"/>
        <n v="3.047305081"/>
        <n v="0.4318980637"/>
        <n v="1.864010203"/>
        <n v="0.02881930801"/>
        <n v="6.633366714"/>
        <n v="0.06243843752"/>
        <n v="2.632761379"/>
        <n v="7.910260997"/>
        <s v="NAN"/>
        <n v="2.262304247"/>
        <n v="14.82032681"/>
        <n v="33.53911377"/>
        <n v="2.600293485"/>
        <n v="3.488080869"/>
        <n v="3.594451897E-6"/>
        <n v="1.089623295"/>
        <n v="0.2604052036"/>
        <n v="4.503407453E-6"/>
        <n v="9.559180722"/>
        <n v="0.3151739969"/>
        <n v="1.8656487"/>
        <n v="13.53053114"/>
        <n v="0.1084762012"/>
        <n v="0.9885830607"/>
        <n v="3.4229177E-6"/>
        <n v="10.62886799"/>
        <n v="15.5639457"/>
        <n v="14.16432245"/>
        <n v="0.4437204778"/>
        <n v="22.15762495"/>
        <n v="0.09315436837"/>
        <n v="3.421857005"/>
        <n v="2.527244192E-6"/>
        <n v="0.034404"/>
        <n v="3.885158264"/>
        <n v="0.1731323735"/>
        <n v="2.913842688"/>
        <n v="0.08800633369"/>
        <n v="0.8536474704"/>
        <n v="0.1194083325"/>
        <n v="1.269428783"/>
        <n v="13.53755519"/>
        <n v="1.252811506"/>
        <n v="23.49014795"/>
        <n v="3.554796791E-6"/>
        <n v="1.575010843"/>
        <n v="0.8253403378"/>
        <n v="14.75825969"/>
        <n v="21.97254088"/>
        <n v="13.15480415"/>
        <n v="6.296119406"/>
        <n v="16.27785545"/>
        <n v="13.41704303"/>
        <n v="31.56245714"/>
        <n v="5.677218558"/>
        <n v="12.60781566"/>
        <n v="7.12408621E-7"/>
        <n v="0.2004120542"/>
        <n v="2.604485389"/>
        <n v="3.215911815"/>
        <n v="21.57684071"/>
        <n v="2.545956934"/>
        <n v="1.277139333E-6"/>
        <n v="5.776304407"/>
        <n v="12.24697135"/>
        <n v="21.15863263"/>
        <n v="5.348927064"/>
        <n v="27.02751244"/>
        <n v="0.03018817873"/>
        <n v="5.20969278"/>
        <n v="14.19244161"/>
        <n v="15.00100626"/>
        <n v="32.31145967"/>
        <n v="5.843416373"/>
        <n v="4.699081176"/>
        <n v="7.77785276"/>
        <n v="2.812216176"/>
        <n v="16.72614511"/>
        <n v="2.545553241"/>
        <n v="19.45082534"/>
        <n v="4.150468349"/>
        <n v="0.22384422"/>
        <n v="2.8776725"/>
        <n v="0.7781893369"/>
        <n v="0.03340844529"/>
        <n v="14.56026288"/>
        <n v="2.427900808E-6"/>
        <n v="0.07590450129"/>
        <n v="3.650217875"/>
        <n v="0.5318366638"/>
        <n v="12.16590654"/>
        <n v="0.07438739142"/>
        <n v="0.9536162228"/>
        <n v="0.06860335296"/>
        <n v="9.780087524"/>
        <n v="5.10942478"/>
        <n v="1.410816657"/>
        <n v="14.51775136"/>
        <n v="0.08296592591"/>
        <n v="1.49610841E-6"/>
        <n v="1.43853282E-6"/>
        <n v="0.5137973631"/>
        <n v="0.7376749545"/>
        <n v="32.54231607"/>
        <n v="3.115643126"/>
        <n v="0.3222149265"/>
        <n v="3.034479307"/>
        <n v="18.63506013"/>
        <n v="0.9210875467"/>
        <n v="0.3204317169"/>
        <n v="2.38545555"/>
        <n v="0.4626557002"/>
        <n v="11.79691148"/>
        <n v="0.5525980099"/>
        <n v="4.413307574"/>
        <n v="5.553871666"/>
        <n v="0.1164733182"/>
        <n v="3.963153945"/>
        <n v="4.725451938"/>
        <m/>
      </sharedItems>
    </cacheField>
    <cacheField name="wat_sur_n">
      <sharedItems containsBlank="1" containsMixedTypes="1" containsNumber="1">
        <n v="0.0"/>
        <n v="0.2227520679"/>
        <n v="1.09204193"/>
        <s v="NAN"/>
        <n v="7.706424202"/>
        <n v="0.1170950144"/>
        <n v="0.563784884"/>
        <n v="0.005292650894"/>
        <n v="5.635653025"/>
        <n v="0.04964054142"/>
        <n v="2.096878897"/>
        <n v="2.380331999"/>
        <n v="2.176722038"/>
        <n v="9.904293959"/>
        <n v="4.258503433"/>
        <n v="0.3221395192"/>
        <n v="0.04796159706"/>
        <n v="5.200780116"/>
        <n v="1.330871481"/>
        <n v="0.1093493927"/>
        <n v="4.902192485"/>
        <n v="1.738474379"/>
        <n v="5.724579081"/>
        <n v="0.01909892327"/>
        <n v="1.491670799"/>
        <n v="0.02173203433"/>
        <n v="3.576110708"/>
        <n v="12.54947006"/>
        <n v="0.03015021745"/>
        <n v="6.195135664"/>
        <n v="1.530987366"/>
        <n v="4.534311965"/>
        <n v="3.254069378"/>
        <n v="0.5845310938"/>
        <n v="11.64645233"/>
        <n v="11.18652269"/>
        <n v="0.01655092647"/>
        <n v="30.36979308"/>
        <n v="12.15736404"/>
        <n v="0.05983483179"/>
        <n v="1.576720644"/>
        <n v="8.084554762"/>
        <n v="0.2731077963"/>
        <n v="4.898326997"/>
        <n v="3.594924913"/>
        <n v="3.295800547"/>
        <n v="4.109975401"/>
        <n v="8.460500354"/>
        <n v="6.858147242"/>
        <n v="2.401784021"/>
        <n v="7.509718784"/>
        <n v="9.200674434"/>
        <n v="0.09972904042"/>
        <n v="2.032299589"/>
        <n v="1.743509404"/>
        <n v="6.856836706"/>
        <n v="0.07764770471"/>
        <n v="2.22515211"/>
        <n v="1.35100309"/>
        <n v="0.3535095024"/>
        <n v="1.82803542"/>
        <n v="4.406791392"/>
        <n v="0.2633330058"/>
        <n v="5.963066293"/>
        <n v="6.403826927"/>
        <n v="11.58468244"/>
        <n v="1.246551314"/>
        <n v="2.595835594"/>
        <n v="4.810725058"/>
        <n v="9.928644759"/>
        <n v="14.09408712"/>
        <n v="1.860606087"/>
        <n v="1.947370925"/>
        <n v="1.456433219"/>
        <n v="8.900782174"/>
        <n v="0.7479339713"/>
        <n v="0.323834836"/>
        <n v="9.231086774"/>
        <n v="0.04495253272"/>
        <n v="4.696184252"/>
        <n v="1.368574512"/>
        <n v="19.04515084"/>
        <n v="9.576946362"/>
        <n v="1.931389712"/>
        <n v="13.47538038"/>
        <n v="0.06525508185"/>
        <n v="0.2249778093"/>
        <n v="8.064332495"/>
        <n v="5.008647486"/>
        <n v="0.6829581735"/>
        <n v="5.614635794"/>
        <n v="1.61544782"/>
        <n v="1.175304087"/>
        <n v="0.5637184626"/>
        <n v="0.1987161441"/>
        <m/>
      </sharedItems>
    </cacheField>
    <cacheField name="wat_bas_r">
      <sharedItems containsBlank="1" containsMixedTypes="1" containsNumber="1">
        <n v="99.70767665"/>
        <s v="NAN"/>
        <n v="78.17294282"/>
        <n v="99.14328736"/>
        <n v="100.0"/>
        <n v="99.75698503"/>
        <n v="94.42972"/>
        <n v="98.46807854"/>
        <n v="60.99418489"/>
        <n v="96.81402383"/>
        <n v="91.78032287"/>
        <n v="74.30061449"/>
        <n v="88.39720123"/>
        <n v="97.99520758"/>
        <n v="99.9190125"/>
        <n v="80.11452544"/>
        <n v="96.57441263"/>
        <n v="98.5952381"/>
        <n v="98.16188754"/>
        <n v="59.40526749"/>
        <n v="96.73119365"/>
        <n v="93.9284905"/>
        <n v="89.08802405"/>
        <n v="47.28073293"/>
        <n v="62.46644874"/>
        <n v="99.84576172"/>
        <n v="99.82768234"/>
        <n v="80.48779562"/>
        <n v="98.57922314"/>
        <n v="49.8319053"/>
        <n v="97.46871457"/>
        <n v="63.65035482"/>
        <n v="44.74588901"/>
        <n v="79.04372386"/>
        <n v="69.18852321"/>
        <n v="71.25616743"/>
        <n v="93.78278023"/>
        <n v="94.09135806"/>
        <n v="85.39991216"/>
        <n v="61.07075114"/>
        <n v="97.33333333"/>
        <n v="95.30083"/>
        <n v="94.2718842"/>
        <n v="85.48103812"/>
        <n v="86.32308326"/>
        <n v="49.9113389"/>
        <n v="28.10659415"/>
        <n v="98.13492075"/>
        <n v="64.10021689"/>
        <n v="99.64625"/>
        <n v="98.71555642"/>
        <n v="76.25077991"/>
        <n v="45.72441318"/>
        <n v="93.45439508"/>
        <n v="87.258429"/>
        <n v="59.10744663"/>
        <n v="97.40128797"/>
        <n v="99.11122753"/>
        <n v="78.47295942"/>
        <n v="52.75270267"/>
        <n v="52.11755275"/>
        <n v="95.84497475"/>
        <n v="39.07134367"/>
        <n v="98.56412231"/>
        <n v="76.6435992"/>
        <n v="89.87579955"/>
        <n v="99.71937474"/>
        <n v="90.92579795"/>
        <n v="99.73877609"/>
        <n v="97.31147869"/>
        <n v="99.8175993"/>
        <n v="90.30446437"/>
        <n v="33.59362881"/>
        <n v="94.38665114"/>
        <n v="42.8457001"/>
        <n v="79.93664283"/>
        <n v="93.93623193"/>
        <n v="57.68576527"/>
        <n v="58.05226799"/>
        <n v="55.64246823"/>
        <n v="50.74817899"/>
        <n v="48.28242885"/>
        <n v="37.07586282"/>
        <n v="37.57521525"/>
        <n v="65.06715583"/>
        <n v="75.2429282"/>
        <n v="92.082745"/>
        <n v="87.05074495"/>
        <n v="90.1193298"/>
        <n v="48.22728833"/>
        <n v="91.93925234"/>
        <n v="66.58504376"/>
        <n v="72.08089521"/>
        <n v="32.7182589"/>
        <n v="90.5374357"/>
        <n v="39.15415932"/>
        <n v="88.75362488"/>
        <n v="55.72244686"/>
        <n v="43.52758112"/>
        <n v="36.40642028"/>
        <n v="90.20327165"/>
        <n v="50.68133437"/>
        <n v="71.89275005"/>
        <n v="48.8666865"/>
        <n v="90.19744812"/>
        <n v="27.80822661"/>
        <n v="80.79943849"/>
        <n v="96.07258236"/>
        <n v="77.34612896"/>
        <n v="99.0604959"/>
        <n v="66.32791521"/>
        <n v="94.83114678"/>
        <n v="53.19902707"/>
        <n v="90.03753791"/>
        <n v="48.23118958"/>
        <n v="86.76707282"/>
        <n v="51.77997893"/>
        <n v="78.42256469"/>
        <n v="83.32948118"/>
        <n v="45.44696534"/>
        <n v="93.82873538"/>
        <n v="96.02516977"/>
        <n v="21.98279234"/>
        <n v="95.51453844"/>
        <n v="99.33283515"/>
        <n v="91.06193322"/>
        <n v="40.03013919"/>
        <n v="98.33706893"/>
        <n v="91.54410196"/>
        <n v="97.88023776"/>
        <n v="61.65821003"/>
        <n v="95.94525953"/>
        <n v="88.59986076"/>
        <n v="85.66796238"/>
        <n v="99.67078734"/>
        <n v="88.78250313"/>
        <n v="89.66123351"/>
        <m/>
      </sharedItems>
    </cacheField>
    <cacheField name="wat_lim_r">
      <sharedItems containsBlank="1" containsMixedTypes="1" containsNumber="1">
        <n v="0.0"/>
        <s v="NAN"/>
        <n v="5.39028"/>
        <n v="1.103159706"/>
        <n v="2.096609799"/>
        <n v="1.734152255"/>
        <n v="6.220703339"/>
        <n v="19.71184258"/>
        <n v="1.255132675"/>
        <n v="1.358317682"/>
        <n v="0.0809875"/>
        <n v="9.911127022"/>
        <n v="1.60029586"/>
        <n v="6.528523649"/>
        <n v="3.268806351"/>
        <n v="1.646193862"/>
        <n v="12.06161014"/>
        <n v="12.29969513"/>
        <n v="2.049364675"/>
        <n v="9.285773026"/>
        <n v="1.505202232"/>
        <n v="13.55843013"/>
        <n v="10.51114859"/>
        <n v="15.15494718"/>
        <n v="16.49783239"/>
        <n v="11.97218925"/>
        <n v="2.305264955"/>
        <n v="8.490737371"/>
        <n v="3.084170572"/>
        <n v="2.666666667"/>
        <n v="4.69917"/>
        <n v="1.52256302"/>
        <n v="1.791982583"/>
        <n v="18.49039689"/>
        <n v="19.4058899"/>
        <n v="6.537775797"/>
        <n v="0.35375"/>
        <n v="0.3174006273"/>
        <n v="21.63212113"/>
        <n v="10.6323901"/>
        <n v="0.7804762049"/>
        <n v="2.606070485"/>
        <n v="3.520974285"/>
        <n v="0.8887724684"/>
        <n v="5.598583786"/>
        <n v="5.221136889"/>
        <n v="8.187542019"/>
        <n v="3.545864028"/>
        <n v="2.429850293"/>
        <n v="0.9955971951"/>
        <n v="3.207143928"/>
        <n v="0.8067095079"/>
        <n v="2.391535671"/>
        <n v="0.6239465945"/>
        <n v="1.385315508"/>
        <n v="42.16438068"/>
        <n v="2.591752445"/>
        <n v="13.25598695"/>
        <n v="0.2447364082"/>
        <n v="3.351687357"/>
        <n v="21.25148213"/>
        <n v="12.70520504"/>
        <n v="25.08014133"/>
        <n v="26.14432944"/>
        <n v="18.59098467"/>
        <n v="36.64324958"/>
        <n v="14.35396111"/>
        <n v="15.51772278"/>
        <n v="4.052382433"/>
        <n v="7.917255"/>
        <n v="0.009631811022"/>
        <n v="1.849169999"/>
        <n v="8.331703613"/>
        <n v="1.862616064"/>
        <n v="24.41415803"/>
        <n v="3.78241223"/>
        <n v="38.62690254"/>
        <n v="0.7032099038"/>
        <n v="23.98774039"/>
        <n v="0.3564402606"/>
        <n v="13.34316829"/>
        <n v="12.67259943"/>
        <n v="1.601776163"/>
        <n v="4.207348246"/>
        <n v="33.53021373"/>
        <n v="11.93454827"/>
        <n v="12.64088359"/>
        <n v="0.5444513971"/>
        <n v="8.740488389"/>
        <n v="1.596943771"/>
        <n v="12.03707816"/>
        <n v="1.956824851"/>
        <n v="2.599251339"/>
        <n v="27.45764451"/>
        <n v="8.79672214"/>
        <n v="31.78469426"/>
        <n v="0.7312282016"/>
        <n v="11.56900419"/>
        <n v="2.316962142"/>
        <n v="6.977359359"/>
        <n v="13.98368881"/>
        <n v="4.297948765"/>
        <n v="2.684574639"/>
        <n v="12.68294146"/>
        <n v="0.3359418224"/>
        <n v="3.959520428"/>
        <n v="30.18668334"/>
        <n v="1.583163513"/>
        <n v="0.8581049804"/>
        <n v="7.128924583"/>
        <n v="0.9789509154"/>
        <n v="3.852278117"/>
        <n v="1.17809123"/>
        <n v="5.902210054"/>
        <n v="1.832679086"/>
        <m/>
      </sharedItems>
    </cacheField>
    <cacheField name="wat_unimp_r">
      <sharedItems containsBlank="1" containsMixedTypes="1" containsNumber="1">
        <n v="0.2923233459"/>
        <s v="NAN"/>
        <n v="21.82705718"/>
        <n v="0.856712639"/>
        <n v="0.0"/>
        <n v="0.2430149677"/>
        <n v="0.18"/>
        <n v="0.4287617551"/>
        <n v="36.90920532"/>
        <n v="1.451823918"/>
        <n v="1.72769216"/>
        <n v="1.729405704"/>
        <n v="0.6464747393"/>
        <n v="9.623217003"/>
        <n v="0.1598017947"/>
        <n v="1.404761905"/>
        <n v="1.821833386"/>
        <n v="26.955911"/>
        <n v="1.561274833"/>
        <n v="5.759897938"/>
        <n v="30.73550468"/>
        <n v="12.45046093"/>
        <n v="0.1542382836"/>
        <n v="0.1723176618"/>
        <n v="11.26233968"/>
        <n v="1.42077686"/>
        <n v="40.31645129"/>
        <n v="0.9105631982"/>
        <n v="15.73132479"/>
        <n v="44.7429624"/>
        <n v="1.596119156"/>
        <n v="14.24376547"/>
        <n v="7.081803759"/>
        <n v="6.217219771"/>
        <n v="3.603376986"/>
        <n v="2.568971895"/>
        <n v="17.58078116"/>
        <n v="5.703923618"/>
        <n v="12.99639886"/>
        <n v="7.162364342"/>
        <n v="31.5496173"/>
        <n v="46.37307301"/>
        <n v="1.865079247"/>
        <n v="3.383709875"/>
        <n v="0.9670429576"/>
        <n v="1.897409218"/>
        <n v="24.40516973"/>
        <n v="2.954593684"/>
        <n v="29.78017368"/>
        <n v="2.598712031"/>
        <n v="15.0109696"/>
        <n v="23.14294909"/>
        <n v="20.7910842"/>
        <n v="0.5711602866"/>
        <n v="24.43180086"/>
        <n v="0.4402804931"/>
        <n v="4.140706948"/>
        <n v="9.317490946"/>
        <n v="0.2806252626"/>
        <n v="6.682666377"/>
        <n v="0.2612239122"/>
        <n v="2.024714716"/>
        <n v="0.1824006965"/>
        <n v="1.115118127"/>
        <n v="14.11109616"/>
        <n v="1.905972935"/>
        <n v="43.89831295"/>
        <n v="3.954133693"/>
        <n v="2.71208071"/>
        <n v="16.89675238"/>
        <n v="23.97796833"/>
        <n v="14.77886772"/>
        <n v="9.704719143"/>
        <n v="23.01364655"/>
        <n v="21.82149546"/>
        <n v="38.52496761"/>
        <n v="7.492899307"/>
        <n v="20.51245174"/>
        <n v="7.26819549"/>
        <n v="4.583438691"/>
        <n v="31.60865444"/>
        <n v="6.014693049"/>
        <n v="6.383874146"/>
        <n v="21.72810084"/>
        <n v="28.3404457"/>
        <n v="6.510488612"/>
        <n v="31.99150648"/>
        <n v="10.18993486"/>
        <n v="23.17527956"/>
        <n v="30.12380645"/>
        <n v="43.95389345"/>
        <n v="4.269023951"/>
        <n v="11.60782393"/>
        <n v="4.999356483"/>
        <n v="23.6862564"/>
        <n v="9.258100478"/>
        <n v="22.93315258"/>
        <n v="9.612691163"/>
        <n v="6.623063373"/>
        <n v="0.9395041006"/>
        <n v="19.68294895"/>
        <n v="5.637660008"/>
        <n v="0.9946030281"/>
        <n v="14.07616061"/>
        <n v="5.13386897"/>
        <n v="12.51911322"/>
        <n v="6.592393694"/>
        <n v="3.776999287"/>
        <n v="21.21996133"/>
        <n v="1.602839669"/>
        <n v="0.7882555911"/>
        <n v="51.21598167"/>
        <n v="4.48546156"/>
        <n v="0.3312230319"/>
        <n v="4.978546347"/>
        <n v="23.49561327"/>
        <n v="1.662931067"/>
        <n v="6.872734531"/>
        <n v="0.3164802414"/>
        <n v="20.92487535"/>
        <n v="3.075789551"/>
        <n v="5.174596509"/>
        <n v="10.61491462"/>
        <n v="0.3292126628"/>
        <n v="4.57637573"/>
        <n v="8.506087409"/>
        <m/>
      </sharedItems>
    </cacheField>
    <cacheField name="wat_sur_r">
      <sharedItems containsBlank="1" containsMixedTypes="1" containsNumber="1">
        <n v="0.0"/>
        <s v="NAN"/>
        <n v="0.2712816327"/>
        <n v="4.258137228"/>
        <n v="10.3476661"/>
        <n v="0.3511305397"/>
        <n v="1.66548972"/>
        <n v="0.01627906977"/>
        <n v="7.110297857"/>
        <n v="2.864040809"/>
        <n v="5.152078012"/>
        <n v="9.922152249"/>
        <n v="12.78339519"/>
        <n v="6.200500018"/>
        <n v="0.5658703845"/>
        <n v="0.11552"/>
        <n v="7.059890254"/>
        <n v="4.20520981"/>
        <n v="0.0698789368"/>
        <n v="9.689839563"/>
        <n v="3.540378574"/>
        <n v="18.26429713"/>
        <n v="0.02419218345"/>
        <n v="4.722569811"/>
        <n v="0.04864690722"/>
        <n v="6.114442944"/>
        <n v="25.97829744"/>
        <n v="0.2196897375"/>
        <n v="19.23802699"/>
        <n v="5.765128712"/>
        <n v="7.180906832"/>
        <n v="7.5914054"/>
        <n v="0.9174871957"/>
        <n v="18.88321135"/>
        <n v="18.90382103"/>
        <n v="0.03800093141"/>
        <n v="34.06700517"/>
        <n v="16.00854992"/>
        <n v="0.03986"/>
        <n v="7.195101991"/>
        <n v="10.13089435"/>
        <n v="1.115623477"/>
        <n v="15.86448707"/>
        <n v="4.166000219"/>
        <n v="5.264558634"/>
        <n v="4.498522714"/>
        <n v="13.40277243"/>
        <n v="10.11293992"/>
        <n v="4.459392143"/>
        <n v="9.545856027"/>
        <n v="11.92222209"/>
        <n v="0.1922376314"/>
        <n v="5.671427747"/>
        <n v="3.448061508"/>
        <n v="11.83235362"/>
        <n v="0.1834385438"/>
        <n v="2.616924066"/>
        <n v="2.408591717"/>
        <n v="0.3143928626"/>
        <n v="2.248865782"/>
        <n v="4.866593813"/>
        <n v="0.7"/>
        <n v="7.759105289"/>
        <n v="13.676013"/>
        <n v="18.03791011"/>
        <n v="1.320356149"/>
        <n v="4.180627978"/>
        <n v="11.17334519"/>
        <n v="14.80617352"/>
        <n v="40.51813242"/>
        <n v="7.990926578"/>
        <n v="3.927417637"/>
        <n v="3.993729502"/>
        <n v="12.03231098"/>
        <n v="2.569601877"/>
        <n v="13.70566842"/>
        <n v="0.1711369258"/>
        <n v="5.907955546"/>
        <n v="7.367830005"/>
        <n v="24.13190366"/>
        <n v="12.66807947"/>
        <n v="5.916160173"/>
        <n v="19.34938452"/>
        <n v="0.2704761905"/>
        <n v="0.502"/>
        <n v="14.11828453"/>
        <n v="6.287564203"/>
        <n v="0.9451770151"/>
        <n v="10.28799004"/>
        <n v="2.373264617"/>
        <n v="2.539031772"/>
        <n v="0.7389110856"/>
        <m/>
      </sharedItems>
    </cacheField>
    <cacheField name="wat_bas_u">
      <sharedItems containsBlank="1" containsMixedTypes="1" containsNumber="1">
        <s v="NAN"/>
        <n v="100.0"/>
        <n v="99.63420199"/>
        <n v="99.99927139"/>
        <n v="86.9"/>
        <n v="99.90314002"/>
        <n v="99.60665819"/>
        <n v="91.53117485"/>
        <n v="97.20582219"/>
        <n v="92.10119"/>
        <n v="79.5805429"/>
        <n v="99.5"/>
        <n v="98.87896"/>
        <n v="99.65"/>
        <n v="98.99798893"/>
        <n v="93.1"/>
        <n v="98.71385387"/>
        <n v="99.19173959"/>
        <n v="91.41077689"/>
        <n v="98.10662849"/>
        <n v="98.19424406"/>
        <n v="84.13501493"/>
        <n v="96.74976305"/>
        <n v="99.72515812"/>
        <n v="99.92231522"/>
        <n v="96.47695792"/>
        <n v="99.98545421"/>
        <n v="98.87692469"/>
        <n v="70.61434791"/>
        <n v="97.93740299"/>
        <n v="93.02090855"/>
        <n v="89.80653917"/>
        <n v="97.62498058"/>
        <n v="87.96690427"/>
        <n v="96.26696535"/>
        <n v="95.66380912"/>
        <n v="95.39801591"/>
        <n v="99.95448122"/>
        <n v="96.64596558"/>
        <n v="94.8457044"/>
        <n v="99.69273444"/>
        <n v="99.44615394"/>
        <n v="97.35744448"/>
        <n v="98.08889267"/>
        <n v="89.25869465"/>
        <n v="49.66166495"/>
        <n v="96.97988603"/>
        <n v="85.52810963"/>
        <n v="99.84965286"/>
        <n v="97.62696443"/>
        <n v="94.7"/>
        <n v="99.60509406"/>
        <n v="87.09329616"/>
        <n v="99.57087001"/>
        <n v="99.30769231"/>
        <n v="97.40695661"/>
        <n v="99.5286704"/>
        <n v="99.88674854"/>
        <n v="97.06426222"/>
        <n v="78.41163766"/>
        <n v="90.58991001"/>
        <n v="94.87156989"/>
        <n v="86.07527164"/>
        <n v="96.01087362"/>
        <n v="95.58062386"/>
        <n v="99.83728281"/>
        <n v="99.84155768"/>
        <n v="99.09321259"/>
        <n v="99.90265093"/>
        <n v="98.03689158"/>
        <n v="70.01770445"/>
        <n v="97.77557664"/>
        <n v="84.62262129"/>
        <n v="99.12211832"/>
        <n v="99.12119763"/>
        <n v="90.66911086"/>
        <n v="73.25800004"/>
        <n v="83.0175993"/>
        <n v="86.58169007"/>
        <n v="92.89512895"/>
        <n v="79.12330574"/>
        <n v="74.19222309"/>
        <n v="90.45807717"/>
        <n v="95.32170094"/>
        <n v="95.40516436"/>
        <n v="97.61816944"/>
        <n v="86.73385466"/>
        <n v="98.00073133"/>
        <n v="86.45469821"/>
        <n v="95.91745475"/>
        <n v="80.08191854"/>
        <n v="99.56938019"/>
        <n v="85.81383976"/>
        <n v="99.965"/>
        <n v="96.91351044"/>
        <n v="85.09355329"/>
        <n v="82.08358486"/>
        <n v="80.47000694"/>
        <n v="89.57763316"/>
        <n v="77.01412934"/>
        <n v="96.12725952"/>
        <n v="87.98504792"/>
        <n v="99.14309591"/>
        <n v="71.74314862"/>
        <n v="96.55984408"/>
        <n v="99.55600556"/>
        <n v="97.89674601"/>
        <n v="99.25827766"/>
        <n v="99.94435484"/>
        <n v="99.80873103"/>
        <n v="91.27727011"/>
        <n v="73.76365956"/>
        <n v="96.00473586"/>
        <n v="99.79042065"/>
        <n v="78.7828518"/>
        <n v="99.90794521"/>
        <n v="99.9381928"/>
        <n v="86.97523145"/>
        <n v="95.42788606"/>
        <n v="99.00126484"/>
        <n v="88.7939249"/>
        <n v="98.64448672"/>
        <n v="97.32481783"/>
        <n v="74.50335478"/>
        <n v="99.18304001"/>
        <n v="99.5837311"/>
        <n v="97.4893325"/>
        <n v="84.21282816"/>
        <n v="98.83259961"/>
        <n v="97.40277797"/>
        <n v="92.35770519"/>
        <n v="99.82200131"/>
        <n v="92.76804985"/>
        <n v="97.58051207"/>
        <n v="99.92814447"/>
        <n v="93.6700363"/>
        <n v="97.11488267"/>
        <m/>
      </sharedItems>
    </cacheField>
    <cacheField name="wat_lim_u">
      <sharedItems containsBlank="1" containsMixedTypes="1" containsNumber="1">
        <s v="NAN"/>
        <n v="0.0"/>
        <n v="13.1"/>
        <n v="0.143540536"/>
        <n v="5.658666461"/>
        <n v="2.166718886"/>
        <n v="7.89881"/>
        <n v="20.4194571"/>
        <n v="0.5"/>
        <n v="1.12104"/>
        <n v="6.9"/>
        <n v="0.7944652371"/>
        <n v="0.8082604128"/>
        <n v="3.557120425"/>
        <n v="1.3591415"/>
        <n v="15.51511107"/>
        <n v="0.7460644731"/>
        <n v="1.527338152"/>
        <n v="0.9987568151"/>
        <n v="20.03063358"/>
        <n v="1.727136954"/>
        <n v="2.698211997"/>
        <n v="7.42998076"/>
        <n v="0.4366200322"/>
        <n v="3.873689522"/>
        <n v="2.584758965"/>
        <n v="1.62808683"/>
        <n v="2.944456223"/>
        <n v="1.718335079"/>
        <n v="5.026922206"/>
        <n v="0.3072655617"/>
        <n v="1.516060408"/>
        <n v="1.911107333"/>
        <n v="9.428808083"/>
        <n v="34.27978009"/>
        <n v="10.69005698"/>
        <n v="0.1503471429"/>
        <n v="1.246217358"/>
        <n v="5.3"/>
        <n v="0.3949059374"/>
        <n v="10.37996439"/>
        <n v="0.6923076923"/>
        <n v="0.1075523143"/>
        <n v="0.1132514643"/>
        <n v="14.07927743"/>
        <n v="3.229348056"/>
        <n v="4.783037865"/>
        <n v="0.1721822608"/>
        <n v="3.985572644"/>
        <n v="0.8848144763"/>
        <n v="0.1537015262"/>
        <n v="0.1013669408"/>
        <n v="0.2727920359"/>
        <n v="18.71066092"/>
        <n v="1.1403859"/>
        <n v="7.227673879"/>
        <n v="0.09051328947"/>
        <n v="0.8788023684"/>
        <n v="8.034462869"/>
        <n v="5.708056353"/>
        <n v="9.250506251"/>
        <n v="12.95724153"/>
        <n v="4.964517757"/>
        <n v="17.26991556"/>
        <n v="15.99651381"/>
        <n v="8.85091472"/>
        <n v="0.5920836567"/>
        <n v="4.233570117"/>
        <n v="0.2768660057"/>
        <n v="3.451996194"/>
        <n v="1.999268673"/>
        <n v="10.27894825"/>
        <n v="3.947121723"/>
        <n v="14.60004919"/>
        <n v="0.1273977901"/>
        <n v="9.950440829"/>
        <n v="0.8801428799"/>
        <n v="4.818535156"/>
        <n v="13.02379677"/>
        <n v="4.498430298"/>
        <n v="3.101581411"/>
        <n v="21.48137937"/>
        <n v="2.608342455"/>
        <n v="5.452291027"/>
        <n v="0.2983242605"/>
        <n v="9.558837489"/>
        <n v="0.6423932356"/>
        <n v="1.375477117"/>
        <n v="0.19126897"/>
        <n v="8.14845779"/>
        <n v="25.22343986"/>
        <n v="3.628288591"/>
        <n v="13.74416783"/>
        <n v="0.0618072"/>
        <n v="4.327944725"/>
        <n v="0.734785403"/>
        <n v="6.337231166"/>
        <n v="1.188006671"/>
        <n v="1.815385203"/>
        <n v="14.34445818"/>
        <n v="0.1061012067"/>
        <n v="1.632836465"/>
        <n v="14.30300858"/>
        <n v="0.2973899687"/>
        <n v="1.639520121"/>
        <n v="2.99188065"/>
        <n v="3.771561162"/>
        <n v="0.6085098345"/>
        <n v="3.272056027"/>
        <n v="0.1831784927"/>
        <m/>
      </sharedItems>
    </cacheField>
    <cacheField name="wat_unimp_u">
      <sharedItems containsBlank="1" containsMixedTypes="1" containsNumber="1">
        <s v="NAN"/>
        <n v="0.0"/>
        <n v="0.3657980078"/>
        <n v="7.286105507E-4"/>
        <n v="0.09685998294"/>
        <n v="0.2498012758"/>
        <n v="2.810158691"/>
        <n v="0.6274589237"/>
        <n v="0.35"/>
        <n v="1.002011069"/>
        <n v="0.4916808925"/>
        <n v="3.899286137"/>
        <n v="0.4169208475"/>
        <n v="1.495409344"/>
        <n v="0.3498740029"/>
        <n v="1.632164244"/>
        <n v="0.2748418825"/>
        <n v="0.07768478119"/>
        <n v="1.995703929"/>
        <n v="0.01454579307"/>
        <n v="0.1243184908"/>
        <n v="9.340625284"/>
        <n v="0.3354600563"/>
        <n v="3.625530038"/>
        <n v="2.763480072"/>
        <n v="1.788579159"/>
        <n v="8.026457278"/>
        <n v="0.6596102638"/>
        <n v="2.708104054"/>
        <n v="1.317064322"/>
        <n v="0.04551878364"/>
        <n v="1.635699341"/>
        <n v="0.1273733928"/>
        <n v="0.538220742"/>
        <n v="1.126495111"/>
        <n v="1.31249727"/>
        <n v="15.95940214"/>
        <n v="3.020113966"/>
        <n v="3.58408039"/>
        <n v="1.126818208"/>
        <n v="2.517789997"/>
        <n v="0.4291299944"/>
        <n v="2.244007656"/>
        <n v="0.4713296007"/>
        <n v="2.935737778"/>
        <n v="5.485735437"/>
        <n v="5.307990528"/>
        <n v="0.3453922445"/>
        <n v="7.390385564"/>
        <n v="0.003553731977"/>
        <n v="1.527268323"/>
        <n v="0.009015663296"/>
        <n v="0.1584423157"/>
        <n v="0.7437104707"/>
        <n v="0.0973490679"/>
        <n v="1.302073396"/>
        <n v="11.27163464"/>
        <n v="1.059840374"/>
        <n v="8.149704835"/>
        <n v="0.5613453808"/>
        <n v="1.296426269"/>
        <n v="19.83580681"/>
        <n v="5.462303057"/>
        <n v="0.461068398"/>
        <n v="2.122298674"/>
        <n v="3.606778703"/>
        <n v="8.922452721"/>
        <n v="4.086215402"/>
        <n v="0.361265525"/>
        <n v="1.94525887"/>
        <n v="9.130414105"/>
        <n v="2.897503996"/>
        <n v="0.1354235314"/>
        <n v="4.875836487"/>
        <n v="0.3032220202"/>
        <n v="2.13468778"/>
        <n v="0.035"/>
        <n v="2.206346677"/>
        <n v="5.80236656"/>
        <n v="3.850701351"/>
        <n v="13.74049434"/>
        <n v="6.359123168"/>
        <n v="1.504491286"/>
        <n v="1.185613803"/>
        <n v="4.912684644"/>
        <n v="0.4685798319"/>
        <n v="17.72203473"/>
        <n v="2.636408693"/>
        <n v="0.4439944434"/>
        <n v="0.7277768759"/>
        <n v="0.7417223371"/>
        <n v="0.05564516129"/>
        <n v="0.1090456533"/>
        <n v="0.3669755478"/>
        <n v="0.2095793501"/>
        <n v="6.421044133"/>
        <n v="0.09205479452"/>
        <n v="2.73514263"/>
        <n v="1.830283006"/>
        <n v="0.2639497547"/>
        <n v="2.194178786"/>
        <n v="0.1675066077"/>
        <n v="0.7217969634"/>
        <n v="10.29905862"/>
        <n v="0.816959987"/>
        <n v="0.3101676943"/>
        <n v="0.877831036"/>
        <n v="1.091582355"/>
        <n v="0.6700104236"/>
        <n v="0.6993752147"/>
        <n v="3.356908786"/>
        <n v="0.1779986949"/>
        <n v="3.126184571"/>
        <n v="1.679615139"/>
        <n v="0.0718555296"/>
        <n v="2.820607523"/>
        <n v="2.37993884"/>
        <m/>
      </sharedItems>
    </cacheField>
    <cacheField name="wat_sur_u">
      <sharedItems containsBlank="1" containsMixedTypes="1" containsNumber="1">
        <s v="NAN"/>
        <n v="0.0"/>
        <n v="1.132816553"/>
        <n v="0.1173091586"/>
        <n v="0.3103465922"/>
        <n v="0.8720082294"/>
        <n v="0.01439322693"/>
        <n v="0.65534942"/>
        <n v="0.1498202281"/>
        <n v="0.1329489253"/>
        <n v="0.4886654211"/>
        <n v="0.34046355"/>
        <n v="0.01562531586"/>
        <n v="0.09915281712"/>
        <n v="0.1977530006"/>
        <n v="0.008949452055"/>
        <n v="0.2414834229"/>
        <n v="2.023349475"/>
        <n v="0.8727514049"/>
        <n v="6.362160532"/>
        <n v="2.007293339"/>
        <n v="0.06171"/>
        <n v="0.3882429922"/>
        <n v="0.02419708411"/>
        <n v="0.2260230112"/>
        <n v="1.198136794"/>
        <n v="2.269591394"/>
        <n v="0.01805461538"/>
        <n v="0.8888103843"/>
        <n v="0.6910081144"/>
        <n v="0.1597056849"/>
        <n v="0.6837350463"/>
        <n v="0.3688495446"/>
        <n v="0.4421957805"/>
        <n v="2.101031634"/>
        <n v="4.285544994"/>
        <n v="1.041917019"/>
        <n v="1.291068417"/>
        <n v="0.9616622585"/>
        <n v="0.07878421819"/>
        <n v="1.649976404"/>
        <n v="0.09"/>
        <n v="0.9759791629"/>
        <n v="0.1613539953"/>
        <n v="0.4652264446"/>
        <n v="1.012900581"/>
        <n v="1.051936238"/>
        <n v="5.961681193"/>
        <n v="2.741830931"/>
        <n v="2.674665152"/>
        <n v="0.138"/>
        <n v="0.8531284131"/>
        <n v="0.392580896"/>
        <n v="0.2"/>
        <n v="0.2583266934"/>
        <n v="1.29350537"/>
        <n v="0.3342044223"/>
        <n v="0.1313629588"/>
        <n v="0.2373001538"/>
        <n v="0.322"/>
        <m/>
      </sharedItems>
    </cacheField>
    <cacheField name="value_cnt" numFmtId="0">
      <sharedItems containsString="0" containsBlank="1" containsNumber="1" containsInteger="1">
        <n v="17.0"/>
        <m/>
      </sharedItems>
    </cacheField>
    <cacheField name="pop_n_billion" numFmtId="0">
      <sharedItems containsString="0" containsBlank="1" containsNumber="1">
        <n v="1350.0000240000002"/>
        <n v="1618.000031"/>
        <n v="3483.00004"/>
        <n v="4999.000072000001"/>
        <n v="5795.000076"/>
        <n v="6071.000099"/>
        <n v="9885.0"/>
        <n v="10833.999629999998"/>
        <n v="11246.00029"/>
        <n v="11791.999819999999"/>
        <n v="17563.99918"/>
        <n v="18091.99905"/>
        <n v="30236.99951"/>
        <n v="33691.00189"/>
        <n v="33937.99973"/>
        <n v="38137.00104"/>
        <n v="38659.0"/>
        <n v="39243.99948"/>
        <n v="48865.00168"/>
        <n v="55196.9986"/>
        <n v="56771.99936"/>
        <n v="57556.99921"/>
        <n v="77793.99109000001"/>
        <n v="62272.99881"/>
        <n v="77264.99939"/>
        <n v="85031.99768"/>
        <n v="104422.9965"/>
        <n v="105696.9986"/>
        <n v="119445.9991"/>
        <n v="168783.0048"/>
        <n v="183628.9978"/>
        <n v="198410.0037"/>
        <n v="219160.99550000002"/>
        <n v="272812.98829999997"/>
        <n v="280903.9917"/>
        <n v="285490.9973"/>
        <n v="287371.00220000005"/>
        <n v="298682.00680000003"/>
        <n v="307149.9939"/>
        <n v="341250.0"/>
        <n v="375265.0146"/>
        <n v="397621.00220000005"/>
        <n v="400127.01420000003"/>
        <n v="437483.00169999996"/>
        <n v="441539.00149999995"/>
        <n v="540541.9922"/>
        <n v="555987.9761"/>
        <n v="586633.9722"/>
        <n v="625976.0132"/>
        <n v="628062.0116999999"/>
        <n v="649341.98"/>
        <n v="686877.9907000001"/>
        <n v="771611.9995"/>
        <n v="786559.0210000001"/>
        <n v="895307.9834"/>
        <n v="896443.9697"/>
        <n v="988002.0142"/>
        <n v="1160163.94"/>
        <n v="1207360.962"/>
        <n v="1271766.9679999999"/>
        <n v="1318442.017"/>
        <n v="1326538.94"/>
        <n v="1399490.967"/>
        <n v="1701583.0080000001"/>
        <n v="1886202.0259999998"/>
        <n v="1967998.047"/>
        <n v="2078931.885"/>
        <n v="2083379.8830000001"/>
        <n v="2142251.9529999997"/>
        <n v="2225728.0270000002"/>
        <n v="2351625.0"/>
        <n v="2416664.063"/>
        <n v="2540916.0160000003"/>
        <n v="2722291.0160000003"/>
        <n v="2860840.088"/>
        <n v="2877800.049"/>
        <n v="2881060.059"/>
        <n v="2961160.8890000004"/>
        <n v="2963233.8869999996"/>
        <n v="3278291.992"/>
        <n v="3280814.941"/>
        <n v="3473727.051"/>
        <n v="3989175.049"/>
        <n v="4033962.8910000003"/>
        <n v="4105268.0659999996"/>
        <n v="4270562.988"/>
        <n v="4314768.066"/>
        <n v="4649660.1559999995"/>
        <n v="4822232.91"/>
        <n v="4829764.16"/>
        <n v="4937795.898"/>
        <n v="5057676.757999999"/>
        <n v="5094113.77"/>
        <n v="5101416.016"/>
        <n v="5106622.07"/>
        <n v="5421242.188"/>
        <n v="5459643.066"/>
        <n v="5518091.797"/>
        <n v="5540717.773"/>
        <n v="5792203.125"/>
        <n v="5850342.773"/>
        <n v="6031187.012"/>
        <n v="6486201.172"/>
        <n v="6524190.9180000005"/>
        <n v="6624554.199"/>
        <n v="6825441.895"/>
        <n v="6871287.109"/>
        <n v="6948444.824"/>
        <n v="7132529.785"/>
        <n v="7275556.152"/>
        <n v="7496987.7930000005"/>
        <n v="7976984.863"/>
        <n v="8278737.305000001"/>
        <n v="8654618.163999999"/>
        <n v="8655541.015999999"/>
        <n v="8737370.117"/>
        <n v="8947027.344"/>
        <n v="9006400.390999999"/>
        <n v="9449321.288999999"/>
        <n v="9537641.602"/>
        <n v="9660349.609000001"/>
        <n v="9890400.390999999"/>
        <n v="9904608.398"/>
        <n v="1.009926953E7"/>
        <n v="1.01391748E7"/>
        <n v="1.019670703E7"/>
        <n v="1.0203139649999999E7"/>
        <n v="1.042305566E7"/>
        <n v="1.070898242E7"/>
        <n v="1.08479043E7"/>
        <n v="1.1193728520000001E7"/>
        <n v="1.132661621E7"/>
        <n v="1.14025332E7"/>
        <n v="1.158961621E7"/>
        <n v="1.16730293E7"/>
        <n v="1.181861816E7"/>
        <n v="1.189078125E7"/>
        <n v="1.212319824E7"/>
        <n v="1.2952208979999999E7"/>
        <n v="1.313279199E7"/>
        <n v="1.486292676E7"/>
        <n v="1.589321875E7"/>
        <n v="1.642585938E7"/>
        <n v="1.6718970700000001E7"/>
        <n v="1.6743929690000001E7"/>
        <n v="1.7134873049999997E7"/>
        <n v="1.750065625E7"/>
        <n v="1.7643060549999997E7"/>
        <n v="1.791556641E7"/>
        <n v="1.838395508E7"/>
        <n v="1.877670703E7"/>
        <n v="1.911620898E7"/>
        <n v="1.912995508E7"/>
        <n v="1.923768164E7"/>
        <n v="2.025083398E7"/>
        <n v="2.090327734E7"/>
        <n v="2.141325E7"/>
        <n v="2.420663672E7"/>
        <n v="2.549988086E7"/>
        <n v="2.5778814450000003E7"/>
        <n v="2.637827539E7"/>
        <n v="2.654586328E7"/>
        <n v="2.769101953E7"/>
        <n v="2.843594336E7"/>
        <n v="2.913680859E7"/>
        <n v="2.982596875E7"/>
        <n v="3.107294531E7"/>
        <n v="3.1255435549999997E7"/>
        <n v="3.2365998049999997E7"/>
        <n v="3.2866269529999997E7"/>
        <n v="3.297184766E7"/>
        <n v="3.3469199220000003E7"/>
        <n v="3.481386719E7"/>
        <n v="3.691055859E7"/>
        <n v="3.774215625E7"/>
        <n v="3.784660547E7"/>
        <n v="3.892833984E7"/>
        <n v="4.022250391E7"/>
        <n v="4.373375781E7"/>
        <n v="4.384926953E7"/>
        <n v="4.385104297E7"/>
        <n v="4.519577734E7"/>
        <n v="4.5741E7"/>
        <n v="4.675478125E7"/>
        <n v="5.088288281E7"/>
        <n v="5.126918359E7"/>
        <n v="5.377130078E7"/>
        <n v="5.440979297E7"/>
        <n v="5.930869141E7"/>
        <n v="5.973421484E7"/>
        <n v="6.046182813E7"/>
        <n v="6.527351172E7"/>
        <n v="6.788600781E7"/>
        <n v="6.979997656E7"/>
        <n v="8.378394531E7"/>
        <n v="8.399295313E7"/>
        <n v="8.433907031E7"/>
        <n v="8.956140625E7"/>
        <n v="9.733858594E7"/>
        <n v="1.023344063E8"/>
        <n v="1.095810859E8"/>
        <n v="1.149635859E8"/>
        <n v="1.264764609E8"/>
        <n v="1.2893275E8"/>
        <n v="1.4593445310000002E8"/>
        <n v="1.6468939060000002E8"/>
        <n v="2.061395938E8"/>
        <n v="2.125594063E8"/>
        <n v="2.2089232810000002E8"/>
        <n v="2.73523625E8"/>
        <n v="3.3100265629999995E8"/>
        <n v="1.380004375E9"/>
        <n v="1.4631405E9"/>
        <m/>
      </sharedItems>
    </cacheField>
    <cacheField name="pop_u_value" numFmtId="0">
      <sharedItems containsString="0" containsBlank="1" containsNumber="1">
        <n v="0.0"/>
        <n v="747.5484306290211"/>
        <n v="2734.433518499498"/>
        <n v="455.65884511508995"/>
        <n v="5213.297851891619"/>
        <n v="2433.3783039994805"/>
        <n v="9885.0"/>
        <n v="10833.999629999998"/>
        <n v="7548.530757699601"/>
        <n v="13259.941663950975"/>
        <n v="14652.348002457209"/>
        <n v="14669.480127830804"/>
        <n v="33691.00189"/>
        <n v="33089.210543411704"/>
        <n v="5497.830211033304"/>
        <n v="38659.0"/>
        <n v="39243.99948"/>
        <n v="20717.78283079288"/>
        <n v="48105.8401236216"/>
        <n v="49551.73949598837"/>
        <n v="52836.17213181223"/>
        <n v="68903.73033585183"/>
        <n v="62272.99881"/>
        <n v="67928.2971495929"/>
        <n v="44980.228360604735"/>
        <n v="100182.38173438261"/>
        <n v="24414.948670783415"/>
        <n v="66404.80630295562"/>
        <n v="160239.21507194237"/>
        <n v="34597.53874098201"/>
        <n v="35493.565442847"/>
        <n v="162954.97516326496"/>
        <n v="124814.66877666155"/>
        <n v="174090.25528877642"/>
        <n v="204177.44499691745"/>
        <n v="89633.88923872782"/>
        <n v="256328.8973098458"/>
        <n v="78400.04064236992"/>
        <n v="320426.9079375"/>
        <n v="334511.2317253234"/>
        <n v="183005.07234615137"/>
        <n v="394121.07938786544"/>
        <n v="342330.48221020296"/>
        <n v="418331.726151947"/>
        <n v="219833.0158888805"/>
        <n v="370577.10822092026"/>
        <n v="388052.5184725646"/>
        <n v="572473.8139309235"/>
        <n v="423866.53184538253"/>
        <n v="649341.98"/>
        <n v="169452.80085519244"/>
        <n v="326515.31889346964"/>
        <n v="210687.69385914688"/>
        <n v="892255.0208690722"/>
        <n v="513187.3282799997"/>
        <n v="771254.0973495326"/>
        <n v="280423.2425277443"/>
        <n v="806770.6581554519"/>
        <n v="518372.19479111495"/>
        <n v="412936.03563722974"/>
        <n v="918349.6946402725"/>
        <n v="744725.1329758167"/>
        <n v="1523018.9608190244"/>
        <n v="1288558.9600852292"/>
        <n v="869776.4001241367"/>
        <n v="1145865.7564131776"/>
        <n v="1218402.1906753338"/>
        <n v="621852.8943461375"/>
        <n v="2005202.9579632345"/>
        <n v="1666761.225382125"/>
        <n v="1512396.629473407"/>
        <n v="1322114.8547439824"/>
        <n v="1852410.0799568337"/>
        <n v="2677202.7993700327"/>
        <n v="1787459.1523336598"/>
        <n v="2859019.9671231164"/>
        <n v="1667459.3324863093"/>
        <n v="1876112.2628755784"/>
        <n v="2250776.856891066"/>
        <n v="1608255.4991699487"/>
        <n v="3317930.3715729145"/>
        <n v="2371684.054390743"/>
        <n v="1728512.873729136"/>
        <n v="2362704.8310880195"/>
        <n v="4270562.988"/>
        <n v="2951905.4876688533"/>
        <n v="2572517.2815492232"/>
        <n v="4180827.590085078"/>
        <n v="2038063.786056399"/>
        <n v="3143055.2170285853"/>
        <n v="2634493.0891808723"/>
        <n v="4114566.433986851"/>
        <n v="3913755.0543720615"/>
        <n v="4405788.917522832"/>
        <n v="4498221.026302167"/>
        <n v="2935104.0205595964"/>
        <n v="3742866.616317715"/>
        <n v="4738255.945946903"/>
        <n v="5103857.991759834"/>
        <n v="5850342.772999999"/>
        <n v="3167338.3316514944"/>
        <n v="4763725.604330562"/>
        <n v="2404555.738843752"/>
        <n v="3909281.992809244"/>
        <n v="6069523.89252351"/>
        <n v="5544510.410990516"/>
        <n v="5258999.74173414"/>
        <n v="4435220.628168013"/>
        <n v="2640299.3944959166"/>
        <n v="7496987.7930000005"/>
        <n v="3423961.2398672383"/>
        <n v="3543299.503621597"/>
        <n v="6397061.0955430865"/>
        <n v="8013905.586507545"/>
        <n v="4931895.861974174"/>
        <n v="1193980.8232137738"/>
        <n v="5291080.200775084"/>
        <n v="7510604.201719263"/>
        <n v="2623423.5664729015"/>
        <n v="6949848.845155465"/>
        <n v="8609395.388171745"/>
        <n v="5780230.151526237"/>
        <n v="8885034.089807237"/>
        <n v="5718190.733367842"/>
        <n v="6761436.182793348"/>
        <n v="9327506.130754078"/>
        <n v="8308739.2331643095"/>
        <n v="7931179.966972984"/>
        <n v="8953860.30902072"/>
        <n v="2261021.156592429"/>
        <n v="8743468.144331278"/>
        <n v="6509477.86131115"/>
        <n v="1.136697907415105E7"/>
        <n v="8185478.464442322"/>
        <n v="8221976.374915884"/>
        <n v="1629988.3151534062"/>
        <n v="5869446.076323252"/>
        <n v="2257829.2131631197"/>
        <n v="4842717.0463125"/>
        <n v="4792104.932164175"/>
        <n v="7333289.879076162"/>
        <n v="3863362.201734953"/>
        <n v="4051341.038540398"/>
        <n v="8057514.12169664"/>
        <n v="1.580452151667892E7"/>
        <n v="9708489.455452528"/>
        <n v="1.1320846297792323E7"/>
        <n v="9286712.74272033"/>
        <n v="8204574.908206187"/>
        <n v="1.0828714979778212E7"/>
        <n v="1.6770076151039924E7"/>
        <n v="3333777.2813565773"/>
        <n v="1.0425669234152038E7"/>
        <n v="8891939.544838311"/>
        <n v="6397866.16861527"/>
        <n v="4007061.3311725496"/>
        <n v="4024595.287930697"/>
        <n v="2.1991351566525802E7"/>
        <n v="1.6081082376104338E7"/>
        <n v="1.3639150405783033E7"/>
        <n v="1.5279800281698305E7"/>
        <n v="1.0670457576454276E7"/>
        <n v="2.510296624825358E7"/>
        <n v="5995189.796665698"/>
        <n v="1.1306427377744697E7"/>
        <n v="1.7820023101317037E7"/>
        <n v="1.158763939442111E7"/>
        <n v="2.4973602810449876E7"/>
        <n v="2.1962883611001275E7"/>
        <n v="2.5815969112027038E7"/>
        <n v="1.6873830324067827E7"/>
        <n v="2.93435651296703E7"/>
        <n v="2.3450015227073845E7"/>
        <n v="3.078325902427919E7"/>
        <n v="2.272423848802755E7"/>
        <n v="1.0131489364724841E7"/>
        <n v="2.8514938787887707E7"/>
        <n v="3.044219488423206E7"/>
        <n v="1.5458182263897954E7"/>
        <n v="3.233269026292293E7"/>
        <n v="4.163028249276487E7"/>
        <n v="1.14142093549827E7"/>
        <n v="3.778253758730833E7"/>
        <n v="4.143138499760647E7"/>
        <n v="4.174029387649268E7"/>
        <n v="1.5053275078008082E7"/>
        <n v="1.6943754036861148E7"/>
        <n v="3.994677833126123E7"/>
        <n v="2.104257257252396E7"/>
        <n v="4.29514743608221E7"/>
        <n v="5.285522511658528E7"/>
        <n v="5.695839705136109E7"/>
        <n v="3.5898128161187924E7"/>
        <n v="6.4893181615823895E7"/>
        <n v="6.3728813719817445E7"/>
        <n v="6.418625229321826E7"/>
        <n v="4.0874035023225896E7"/>
        <n v="3.634622813600388E7"/>
        <n v="4.3781730019505866E7"/>
        <n v="5.1950198058494836E7"/>
        <n v="2.4941349604617886E7"/>
        <n v="1.1608262240898411E8"/>
        <n v="1.0408869218794143E8"/>
        <n v="1.0909184899461482E8"/>
        <n v="6.2873471860805124E7"/>
        <n v="1.0710601051765528E8"/>
        <n v="1.8508184770269057E8"/>
        <n v="8.209463577057442E7"/>
        <n v="1.5492651326337594E8"/>
        <n v="2.7362004063647074E8"/>
        <n v="4.819803625126094E8"/>
        <n v="9.02949198813731E8"/>
        <m/>
      </sharedItems>
    </cacheField>
    <cacheField name="pop_r_value" numFmtId="0">
      <sharedItems containsString="0" containsBlank="1" containsNumber="1">
        <n v="1350.0000240000002"/>
        <n v="870.4516003709789"/>
        <n v="748.566521500502"/>
        <n v="4543.341226884911"/>
        <n v="581.7022241083815"/>
        <n v="3637.6217950005193"/>
        <n v="0.0"/>
        <n v="11246.000290000002"/>
        <n v="4243.469062300399"/>
        <n v="4304.0575160490225"/>
        <n v="3439.6510475427904"/>
        <n v="15567.519382169197"/>
        <n v="848.7891865882998"/>
        <n v="32639.170828966693"/>
        <n v="28147.218849207122"/>
        <n v="7091.158476378401"/>
        <n v="7220.259864011633"/>
        <n v="4720.827078187774"/>
        <n v="17274.940592890005"/>
        <n v="9336.702240407096"/>
        <n v="40051.76931939526"/>
        <n v="4240.614765617398"/>
        <n v="81282.04992921658"/>
        <n v="53041.19279704438"/>
        <n v="8543.789728057634"/>
        <n v="149031.459059018"/>
        <n v="162916.438257153"/>
        <n v="56206.02033673507"/>
        <n v="147998.3195233384"/>
        <n v="106813.7364112236"/>
        <n v="81313.55230308254"/>
        <n v="197737.1129612722"/>
        <n v="42353.10949015422"/>
        <n v="228749.95325763008"/>
        <n v="20823.092062500018"/>
        <n v="40753.78287467659"/>
        <n v="214615.9298538487"/>
        <n v="6005.934812134581"/>
        <n v="95152.51948979696"/>
        <n v="23207.275348052935"/>
        <n v="320708.9763111195"/>
        <n v="185410.86787907968"/>
        <n v="198581.45372743535"/>
        <n v="53502.19926907664"/>
        <n v="204195.4798546174"/>
        <n v="517425.18984480767"/>
        <n v="445096.6806065304"/>
        <n v="575871.3271408532"/>
        <n v="3052.9625309278435"/>
        <n v="383256.6414200003"/>
        <n v="216747.91685046724"/>
        <n v="879740.6974722556"/>
        <n v="400590.30384454806"/>
        <n v="753394.773208885"/>
        <n v="905505.9813627702"/>
        <n v="408189.24535972736"/>
        <n v="654765.8340241832"/>
        <n v="178564.04718097582"/>
        <n v="597643.0659147705"/>
        <n v="1098221.6468758634"/>
        <n v="933066.1285868224"/>
        <n v="864977.6923246662"/>
        <n v="1520399.0586538622"/>
        <n v="220525.0690367656"/>
        <n v="684863.7746178749"/>
        <n v="904267.4335265931"/>
        <n v="1218801.161256018"/>
        <n v="869880.9360431663"/>
        <n v="183637.28862996702"/>
        <n v="1090340.8966663403"/>
        <n v="22040.09187688363"/>
        <n v="1293701.5565136909"/>
        <n v="1087121.6241244213"/>
        <n v="1027515.1351089342"/>
        <n v="1672559.4418300511"/>
        <n v="155796.679427085"/>
        <n v="1617490.9946092577"/>
        <n v="2305450.0172708645"/>
        <n v="1742563.2349119803"/>
        <n v="1362862.5783311462"/>
        <n v="2077142.874450776"/>
        <n v="641405.3199149226"/>
        <n v="2791700.3739436013"/>
        <n v="1794740.680971415"/>
        <n v="2423183.668819127"/>
        <n v="979547.3360131484"/>
        <n v="1187660.961627938"/>
        <n v="700833.152477168"/>
        <n v="923021.1616978326"/>
        <n v="2524539.0454404033"/>
        <n v="1775225.1806822852"/>
        <n v="802461.8270530977"/>
        <n v="688345.1332401659"/>
        <n v="2863848.6803485053"/>
        <n v="1722475.5676694375"/>
        <n v="4119635.1791562485"/>
        <n v="2715272.206190756"/>
        <n v="755918.0024764887"/>
        <n v="1326776.698009484"/>
        <n v="1689445.0822658606"/>
        <n v="2697309.1568319867"/>
        <n v="4635256.757504083"/>
        <n v="4553023.623132762"/>
        <n v="4735437.801378404"/>
        <n v="2257557.068456913"/>
        <n v="641635.4294924543"/>
        <n v="3805474.255025826"/>
        <n v="7753046.520786227"/>
        <n v="3715320.1902249153"/>
        <n v="1938717.087280736"/>
        <n v="6914218.035527098"/>
        <n v="2710500.763844535"/>
        <n v="1281005.0028282537"/>
        <n v="4124378.246473763"/>
        <n v="1214235.4401927616"/>
        <n v="4420984.066632159"/>
        <n v="3435270.8472066517"/>
        <n v="875633.5192459198"/>
        <n v="2114316.4268356906"/>
        <n v="2777802.4530270165"/>
        <n v="1894043.9909792808"/>
        <n v="8932707.36340757"/>
        <n v="2583148.065668722"/>
        <n v="4893055.3386888495"/>
        <n v="222637.13584895025"/>
        <n v="3487550.8355576782"/>
        <n v="3596641.7850841163"/>
        <n v="1.0260792934846595E7"/>
        <n v="6253752.16367675"/>
        <n v="1.069437976683688E7"/>
        <n v="8290074.9436874995"/>
        <n v="1.0070821827835826E7"/>
        <n v="8559928.870923838"/>
        <n v="1.2562497178265046E7"/>
        <n v="1.2667629661459606E7"/>
        <n v="8686415.568303362"/>
        <n v="1330351.5333210768"/>
        <n v="7792166.794547472"/>
        <n v="6322214.252207674"/>
        <n v="8628853.66727967"/>
        <n v="1.0179380171793811E7"/>
        <n v="7947992.05022179"/>
        <n v="2346132.8289600755"/>
        <n v="1.579617779864342E7"/>
        <n v="8812012.405847965"/>
        <n v="1.1358894435161691E7"/>
        <n v="1.450541117138473E7"/>
        <n v="1.740618866882745E7"/>
        <n v="2.01820414320693E7"/>
        <n v="3508529.2934741955"/>
        <n v="9697732.073895665"/>
        <n v="1.2739124984216966E7"/>
        <n v="1.1266062998301696E7"/>
        <n v="1.7020561953545723E7"/>
        <n v="3332977.111746419"/>
        <n v="2.31416187933343E7"/>
        <n v="1.8519541372255303E7"/>
        <n v="1.3252922208682964E7"/>
        <n v="1.966779615557889E7"/>
        <n v="7392395.239550121"/>
        <n v="1.090338591899872E7"/>
        <n v="7155878.5479729595"/>
        <n v="1.6595368895932173E7"/>
        <n v="5470302.060329698"/>
        <n v="1.3460543362926159E7"/>
        <n v="6958897.225720809"/>
        <n v="1.512236698197245E7"/>
        <n v="2.8796850475275163E7"/>
        <n v="1.170756512211229E7"/>
        <n v="1.3291562925767943E7"/>
        <n v="2.8391087266102046E7"/>
        <n v="1.1518352707077067E7"/>
        <n v="3565494.847235136"/>
        <n v="3.4326790645017296E7"/>
        <n v="8972243.662691662"/>
        <n v="9451497.812393531"/>
        <n v="9528889.713507323"/>
        <n v="3.8718025701991916E7"/>
        <n v="3.7466038933138855E7"/>
        <n v="1.9361913078738764E7"/>
        <n v="3.869164226747604E7"/>
        <n v="1.751035376917791E7"/>
        <n v="1.2418286603414726E7"/>
        <n v="1.0927610758638913E7"/>
        <n v="3.390184839881208E7"/>
        <n v="1.8890763694176108E7"/>
        <n v="2.026413941018255E7"/>
        <n v="2.015281801678174E7"/>
        <n v="4.868737122677411E7"/>
        <n v="6.0992357803996116E7"/>
        <n v="5.855267628049414E7"/>
        <n v="5.763088784150518E7"/>
        <n v="9.002223629538211E7"/>
        <n v="1.0393838491015889E7"/>
        <n v="2.4844057812058557E7"/>
        <n v="3.684260410538519E7"/>
        <n v="1.0181591873919491E8"/>
        <n v="9.903358328234474E7"/>
        <n v="2.7477558597309433E7"/>
        <n v="1.387976923294256E8"/>
        <n v="1.1859711173662405E8"/>
        <n v="5.7382615663529225E7"/>
        <n v="8.980240124873904E8"/>
        <n v="5.60191301186269E8"/>
        <m/>
      </sharedItems>
    </cacheField>
    <cacheField name="pop_u (th)" numFmtId="0">
      <sharedItems containsString="0" containsBlank="1" containsNumber="1">
        <n v="0.0"/>
        <n v="0.7475484306290211"/>
        <n v="2.734433518499498"/>
        <n v="0.45565884511508997"/>
        <n v="5.213297851891618"/>
        <n v="2.4333783039994805"/>
        <n v="9.885"/>
        <n v="10.83399963"/>
        <n v="7.548530757699601"/>
        <n v="13.259941663950974"/>
        <n v="14.65234800245721"/>
        <n v="14.669480127830804"/>
        <n v="33.69100189"/>
        <n v="33.0892105434117"/>
        <n v="5.497830211033304"/>
        <n v="38.659"/>
        <n v="39.24399948"/>
        <n v="20.717782830792878"/>
        <n v="48.105840123621604"/>
        <n v="49.551739495988365"/>
        <n v="52.836172131812226"/>
        <n v="68.90373033585182"/>
        <n v="62.27299881"/>
        <n v="67.9282971495929"/>
        <n v="44.980228360604734"/>
        <n v="100.1823817343826"/>
        <n v="24.414948670783414"/>
        <n v="66.40480630295562"/>
        <n v="160.23921507194237"/>
        <n v="34.59753874098201"/>
        <n v="35.493565442847"/>
        <n v="162.95497516326495"/>
        <n v="124.81466877666155"/>
        <n v="174.0902552887764"/>
        <n v="204.17744499691744"/>
        <n v="89.63388923872782"/>
        <n v="256.3288973098458"/>
        <n v="78.40004064236992"/>
        <n v="320.4269079375"/>
        <n v="334.5112317253234"/>
        <n v="183.00507234615137"/>
        <n v="394.12107938786545"/>
        <n v="342.33048221020294"/>
        <n v="418.331726151947"/>
        <n v="219.8330158888805"/>
        <n v="370.57710822092025"/>
        <n v="388.0525184725646"/>
        <n v="572.4738139309235"/>
        <n v="423.86653184538255"/>
        <n v="649.34198"/>
        <n v="169.45280085519244"/>
        <n v="326.5153188934696"/>
        <n v="210.6876938591469"/>
        <n v="892.2550208690722"/>
        <n v="513.1873282799997"/>
        <n v="771.2540973495327"/>
        <n v="280.4232425277443"/>
        <n v="806.7706581554519"/>
        <n v="518.3721947911149"/>
        <n v="412.93603563722974"/>
        <n v="918.3496946402726"/>
        <n v="744.7251329758167"/>
        <n v="1523.0189608190244"/>
        <n v="1288.5589600852293"/>
        <n v="869.7764001241367"/>
        <n v="1145.8657564131777"/>
        <n v="1218.402190675334"/>
        <n v="621.8528943461375"/>
        <n v="2005.2029579632344"/>
        <n v="1666.761225382125"/>
        <n v="1512.396629473407"/>
        <n v="1322.1148547439825"/>
        <n v="1852.4100799568337"/>
        <n v="2677.2027993700326"/>
        <n v="1787.4591523336599"/>
        <n v="2859.019967123116"/>
        <n v="1667.4593324863094"/>
        <n v="1876.1122628755784"/>
        <n v="2250.776856891066"/>
        <n v="1608.2554991699487"/>
        <n v="3317.9303715729147"/>
        <n v="2371.684054390743"/>
        <n v="1728.5128737291361"/>
        <n v="2362.7048310880195"/>
        <n v="4270.562988"/>
        <n v="2951.9054876688533"/>
        <n v="2572.5172815492233"/>
        <n v="4180.827590085078"/>
        <n v="2038.063786056399"/>
        <n v="3143.055217028585"/>
        <n v="2634.493089180872"/>
        <n v="4114.566433986851"/>
        <n v="3913.7550543720613"/>
        <n v="4405.788917522832"/>
        <n v="4498.221026302167"/>
        <n v="2935.1040205595964"/>
        <n v="3742.866616317715"/>
        <n v="4738.255945946903"/>
        <n v="5103.857991759834"/>
        <n v="5850.342772999999"/>
        <n v="3167.338331651494"/>
        <n v="4763.725604330562"/>
        <n v="2404.555738843752"/>
        <n v="3909.281992809244"/>
        <n v="6069.523892523511"/>
        <n v="5544.510410990516"/>
        <n v="5258.999741734139"/>
        <n v="4435.220628168013"/>
        <n v="2640.2993944959167"/>
        <n v="7496.987793"/>
        <n v="3423.9612398672384"/>
        <n v="3543.299503621597"/>
        <n v="6397.061095543087"/>
        <n v="8013.905586507545"/>
        <n v="4931.895861974174"/>
        <n v="1193.9808232137739"/>
        <n v="5291.080200775084"/>
        <n v="7510.604201719263"/>
        <n v="2623.4235664729017"/>
        <n v="6949.848845155466"/>
        <n v="8609.395388171746"/>
        <n v="5780.230151526237"/>
        <n v="8885.034089807237"/>
        <n v="5718.190733367842"/>
        <n v="6761.436182793348"/>
        <n v="9327.506130754078"/>
        <n v="8308.73923316431"/>
        <n v="7931.179966972984"/>
        <n v="8953.86030902072"/>
        <n v="2261.021156592429"/>
        <n v="8743.468144331278"/>
        <n v="6509.477861311149"/>
        <n v="11366.97907415105"/>
        <n v="8185.478464442322"/>
        <n v="8221.976374915885"/>
        <n v="1629.9883151534063"/>
        <n v="5869.446076323252"/>
        <n v="2257.8292131631197"/>
        <n v="4842.717046312499"/>
        <n v="4792.104932164176"/>
        <n v="7333.289879076162"/>
        <n v="3863.362201734953"/>
        <n v="4051.3410385403977"/>
        <n v="8057.514121696639"/>
        <n v="15804.52151667892"/>
        <n v="9708.489455452527"/>
        <n v="11320.846297792323"/>
        <n v="9286.71274272033"/>
        <n v="8204.574908206187"/>
        <n v="10828.714979778211"/>
        <n v="16770.076151039924"/>
        <n v="3333.777281356577"/>
        <n v="10425.669234152037"/>
        <n v="8891.939544838311"/>
        <n v="6397.86616861527"/>
        <n v="4007.0613311725497"/>
        <n v="4024.5952879306974"/>
        <n v="21991.351566525802"/>
        <n v="16081.082376104338"/>
        <n v="13639.150405783033"/>
        <n v="15279.800281698304"/>
        <n v="10670.457576454277"/>
        <n v="25102.96624825358"/>
        <n v="5995.189796665698"/>
        <n v="11306.427377744698"/>
        <n v="17820.023101317038"/>
        <n v="11587.63939442111"/>
        <n v="24973.602810449876"/>
        <n v="21962.883611001274"/>
        <n v="25815.969112027036"/>
        <n v="16873.83032406783"/>
        <n v="29343.5651296703"/>
        <n v="23450.015227073844"/>
        <n v="30783.25902427919"/>
        <n v="22724.23848802755"/>
        <n v="10131.489364724841"/>
        <n v="28514.938787887706"/>
        <n v="30442.19488423206"/>
        <n v="15458.182263897954"/>
        <n v="32332.69026292293"/>
        <n v="41630.28249276487"/>
        <n v="11414.2093549827"/>
        <n v="37782.53758730833"/>
        <n v="41431.384997606474"/>
        <n v="41740.29387649268"/>
        <n v="15053.275078008082"/>
        <n v="16943.754036861148"/>
        <n v="39946.77833126123"/>
        <n v="21042.572572523957"/>
        <n v="42951.474360822096"/>
        <n v="52855.22511658528"/>
        <n v="56958.39705136109"/>
        <n v="35898.128161187924"/>
        <n v="64893.181615823894"/>
        <n v="63728.813719817445"/>
        <n v="64186.25229321826"/>
        <n v="40874.03502322589"/>
        <n v="36346.22813600388"/>
        <n v="43781.73001950586"/>
        <n v="51950.19805849484"/>
        <n v="24941.349604617888"/>
        <n v="116082.62240898411"/>
        <n v="104088.69218794143"/>
        <n v="109091.84899461482"/>
        <n v="62873.471860805126"/>
        <n v="107106.01051765529"/>
        <n v="185081.84770269057"/>
        <n v="82094.63577057442"/>
        <n v="154926.51326337593"/>
        <n v="273620.0406364707"/>
        <n v="481980.3625126094"/>
        <n v="902949.198813731"/>
        <m/>
      </sharedItems>
    </cacheField>
    <cacheField name="pop_r (th)" numFmtId="0">
      <sharedItems containsString="0" containsBlank="1" containsNumber="1">
        <n v="1.350000024"/>
        <n v="0.8704516003709789"/>
        <n v="0.748566521500502"/>
        <n v="4.543341226884911"/>
        <n v="0.5817022241083816"/>
        <n v="3.6376217950005194"/>
        <n v="0.0"/>
        <n v="11.246000290000001"/>
        <n v="4.243469062300399"/>
        <n v="4.304057516049022"/>
        <n v="3.43965104754279"/>
        <n v="15.567519382169197"/>
        <n v="0.8487891865882998"/>
        <n v="32.63917082896669"/>
        <n v="28.14721884920712"/>
        <n v="7.091158476378402"/>
        <n v="7.220259864011633"/>
        <n v="4.7208270781877735"/>
        <n v="17.274940592890005"/>
        <n v="9.336702240407096"/>
        <n v="40.051769319395255"/>
        <n v="4.240614765617398"/>
        <n v="81.28204992921658"/>
        <n v="53.04119279704438"/>
        <n v="8.543789728057634"/>
        <n v="149.031459059018"/>
        <n v="162.916438257153"/>
        <n v="56.20602033673507"/>
        <n v="147.9983195233384"/>
        <n v="106.8137364112236"/>
        <n v="81.31355230308255"/>
        <n v="197.7371129612722"/>
        <n v="42.35310949015422"/>
        <n v="228.7499532576301"/>
        <n v="20.823092062500017"/>
        <n v="40.75378287467659"/>
        <n v="214.6159298538487"/>
        <n v="6.005934812134581"/>
        <n v="95.15251948979696"/>
        <n v="23.207275348052935"/>
        <n v="320.7089763111195"/>
        <n v="185.4108678790797"/>
        <n v="198.58145372743536"/>
        <n v="53.50219926907664"/>
        <n v="204.19547985461742"/>
        <n v="517.4251898448076"/>
        <n v="445.0966806065304"/>
        <n v="575.8713271408532"/>
        <n v="3.0529625309278434"/>
        <n v="383.2566414200003"/>
        <n v="216.74791685046725"/>
        <n v="879.7406974722555"/>
        <n v="400.5903038445481"/>
        <n v="753.394773208885"/>
        <n v="905.5059813627702"/>
        <n v="408.18924535972735"/>
        <n v="654.7658340241832"/>
        <n v="178.56404718097582"/>
        <n v="597.6430659147704"/>
        <n v="1098.2216468758634"/>
        <n v="933.0661285868224"/>
        <n v="864.9776923246662"/>
        <n v="1520.3990586538623"/>
        <n v="220.52506903676561"/>
        <n v="684.8637746178749"/>
        <n v="904.2674335265931"/>
        <n v="1218.801161256018"/>
        <n v="869.8809360431663"/>
        <n v="183.63728862996703"/>
        <n v="1090.3408966663403"/>
        <n v="22.04009187688363"/>
        <n v="1293.7015565136908"/>
        <n v="1087.1216241244213"/>
        <n v="1027.5151351089341"/>
        <n v="1672.5594418300511"/>
        <n v="155.796679427085"/>
        <n v="1617.4909946092578"/>
        <n v="2305.4500172708645"/>
        <n v="1742.5632349119803"/>
        <n v="1362.862578331146"/>
        <n v="2077.142874450776"/>
        <n v="641.4053199149225"/>
        <n v="2791.7003739436013"/>
        <n v="1794.740680971415"/>
        <n v="2423.183668819127"/>
        <n v="979.5473360131484"/>
        <n v="1187.6609616279381"/>
        <n v="700.833152477168"/>
        <n v="923.0211616978327"/>
        <n v="2524.5390454404032"/>
        <n v="1775.2251806822853"/>
        <n v="802.4618270530976"/>
        <n v="688.3451332401659"/>
        <n v="2863.8486803485052"/>
        <n v="1722.4755676694374"/>
        <n v="4119.635179156248"/>
        <n v="2715.272206190756"/>
        <n v="755.9180024764887"/>
        <n v="1326.7766980094839"/>
        <n v="1689.4450822658607"/>
        <n v="2697.309156831987"/>
        <n v="4635.256757504083"/>
        <n v="4553.023623132762"/>
        <n v="4735.4378013784035"/>
        <n v="2257.557068456913"/>
        <n v="641.6354294924543"/>
        <n v="3805.474255025826"/>
        <n v="7753.046520786227"/>
        <n v="3715.320190224915"/>
        <n v="1938.717087280736"/>
        <n v="6914.218035527098"/>
        <n v="2710.5007638445354"/>
        <n v="1281.0050028282537"/>
        <n v="4124.378246473763"/>
        <n v="1214.2354401927616"/>
        <n v="4420.984066632159"/>
        <n v="3435.2708472066515"/>
        <n v="875.6335192459197"/>
        <n v="2114.3164268356904"/>
        <n v="2777.8024530270163"/>
        <n v="1894.0439909792808"/>
        <n v="8932.707363407571"/>
        <n v="2583.148065668722"/>
        <n v="4893.05533868885"/>
        <n v="222.63713584895024"/>
        <n v="3487.550835557678"/>
        <n v="3596.6417850841162"/>
        <n v="10260.792934846595"/>
        <n v="6253.75216367675"/>
        <n v="10694.37976683688"/>
        <n v="8290.0749436875"/>
        <n v="10070.821827835825"/>
        <n v="8559.928870923837"/>
        <n v="12562.497178265046"/>
        <n v="12667.629661459607"/>
        <n v="8686.415568303362"/>
        <n v="1330.3515333210767"/>
        <n v="7792.166794547472"/>
        <n v="6322.214252207674"/>
        <n v="8628.85366727967"/>
        <n v="10179.380171793811"/>
        <n v="7947.992050221789"/>
        <n v="2346.1328289600756"/>
        <n v="15796.177798643419"/>
        <n v="8812.012405847965"/>
        <n v="11358.894435161692"/>
        <n v="14505.411171384729"/>
        <n v="17406.188668827454"/>
        <n v="20182.0414320693"/>
        <n v="3508.5292934741956"/>
        <n v="9697.732073895664"/>
        <n v="12739.124984216965"/>
        <n v="11266.062998301695"/>
        <n v="17020.561953545723"/>
        <n v="3332.9771117464193"/>
        <n v="23141.618793334303"/>
        <n v="18519.541372255302"/>
        <n v="13252.922208682963"/>
        <n v="19667.79615557889"/>
        <n v="7392.395239550121"/>
        <n v="10903.38591899872"/>
        <n v="7155.8785479729595"/>
        <n v="16595.368895932173"/>
        <n v="5470.302060329698"/>
        <n v="13460.543362926159"/>
        <n v="6958.897225720809"/>
        <n v="15122.366981972451"/>
        <n v="28796.85047527516"/>
        <n v="11707.56512211229"/>
        <n v="13291.562925767943"/>
        <n v="28391.087266102048"/>
        <n v="11518.352707077067"/>
        <n v="3565.494847235136"/>
        <n v="34326.790645017296"/>
        <n v="8972.243662691662"/>
        <n v="9451.49781239353"/>
        <n v="9528.889713507322"/>
        <n v="38718.025701991915"/>
        <n v="37466.03893313886"/>
        <n v="19361.913078738762"/>
        <n v="38691.64226747604"/>
        <n v="17510.35376917791"/>
        <n v="12418.286603414726"/>
        <n v="10927.610758638913"/>
        <n v="33901.84839881208"/>
        <n v="18890.76369417611"/>
        <n v="20264.13941018255"/>
        <n v="20152.81801678174"/>
        <n v="48687.371226774114"/>
        <n v="60992.357803996114"/>
        <n v="58552.67628049414"/>
        <n v="57630.88784150518"/>
        <n v="90022.23629538211"/>
        <n v="10393.83849101589"/>
        <n v="24844.057812058556"/>
        <n v="36842.604105385195"/>
        <n v="101815.91873919491"/>
        <n v="99033.58328234474"/>
        <n v="27477.55859730943"/>
        <n v="138797.6923294256"/>
        <n v="118597.11173662405"/>
        <n v="57382.61566352923"/>
        <n v="898024.0124873904"/>
        <n v="560191.301186269"/>
        <m/>
      </sharedItems>
    </cacheField>
    <cacheField name="pop_r %" numFmtId="0">
      <sharedItems containsString="0" containsBlank="1" containsNumber="1">
        <n v="100.0"/>
        <n v="53.79799652"/>
        <n v="21.492004390000005"/>
        <n v="90.885000229"/>
        <n v="10.03800201"/>
        <n v="59.91799927"/>
        <n v="0.0"/>
        <n v="35.986000059999995"/>
        <n v="24.504997250000002"/>
        <n v="19.01200104"/>
        <n v="51.48500061"/>
        <n v="2.500999449999995"/>
        <n v="85.58399963"/>
        <n v="57.60200119"/>
        <n v="12.847000120000004"/>
        <n v="12.717994689999998"/>
        <n v="8.202003480000002"/>
        <n v="22.206008909999994"/>
        <n v="12.083999629999994"/>
        <n v="47.10199738"/>
        <n v="4.060997009999994"/>
        <n v="76.90100097999999"/>
        <n v="44.40600204"/>
        <n v="5.061996460000003"/>
        <n v="81.1590004"/>
        <n v="82.11100006"/>
        <n v="25.645996089999997"/>
        <n v="54.24900055"/>
        <n v="38.02499771"/>
        <n v="28.48200226"/>
        <n v="68.80900002"/>
        <n v="14.180000309999997"/>
        <n v="74.47499847"/>
        <n v="6.1020050000000055"/>
        <n v="10.86000061"/>
        <n v="53.97499847"/>
        <n v="1.5010070799999937"/>
        <n v="21.74999237"/>
        <n v="5.255996699999997"/>
        <n v="59.33100128"/>
        <n v="33.34799957"/>
        <n v="33.85099792"/>
        <n v="8.547004700000002"/>
        <n v="32.51199341"/>
        <n v="75.32999992"/>
        <n v="57.68400192"/>
        <n v="73.2140007"/>
        <n v="0.3409957899999938"/>
        <n v="42.75299454"/>
        <n v="21.938003539999997"/>
        <n v="75.82899857"/>
        <n v="33.179000849999994"/>
        <n v="59.24000168"/>
        <n v="68.68000031"/>
        <n v="30.770996089999997"/>
        <n v="46.7859993"/>
        <n v="10.493995670000004"/>
        <n v="31.68499756"/>
        <n v="55.80400085"/>
        <n v="44.88199615"/>
        <n v="41.51800156"/>
        <n v="70.97200012"/>
        <n v="9.907997129999998"/>
        <n v="29.123001099999996"/>
        <n v="37.41800308"/>
        <n v="47.96699905"/>
        <n v="31.954002380000006"/>
        <n v="6.418998720000005"/>
        <n v="37.88800049"/>
        <n v="0.7649993899999998"/>
        <n v="43.68899918"/>
        <n v="36.68700027"/>
        <n v="31.343002319999997"/>
        <n v="50.97999954"/>
        <n v="4.48500061"/>
        <n v="40.5470047"/>
        <n v="57.15099716"/>
        <n v="42.44700241"/>
        <n v="31.585998540000006"/>
        <n v="44.67300415"/>
        <n v="13.301002499999996"/>
        <n v="57.80200195"/>
        <n v="36.34700012"/>
        <n v="47.91100311"/>
        <n v="19.229003910000003"/>
        <n v="23.281005859999993"/>
        <n v="13.724006650000007"/>
        <n v="17.026008610000005"/>
        <n v="46.24000168"/>
        <n v="32.170997619999994"/>
        <n v="14.482994079999997"/>
        <n v="11.883995060000004"/>
        <n v="47.48399734"/>
        <n v="26.555999760000006"/>
        <n v="63.14400101"/>
        <n v="40.98799896"/>
        <n v="11.075004579999998"/>
        <n v="19.308998110000005"/>
        <n v="24.314002990000006"/>
        <n v="37.81700516"/>
        <n v="63.70999908"/>
        <n v="57.07699966"/>
        <n v="57.20000076"/>
        <n v="26.084999080000003"/>
        <n v="7.41300201"/>
        <n v="43.55400085"/>
        <n v="86.65499973"/>
        <n v="41.2519989"/>
        <n v="20.516998290000004"/>
        <n v="72.49400139"/>
        <n v="28.057998659999996"/>
        <n v="12.952003480000002"/>
        <n v="41.64100266"/>
        <n v="12.02300262"/>
        <n v="43.60299683"/>
        <n v="33.69000244"/>
        <n v="8.582000730000004"/>
        <n v="20.284996030000002"/>
        <n v="25.938995360000007"/>
        <n v="17.459999080000003"/>
        <n v="79.8010006"/>
        <n v="22.805999760000006"/>
        <n v="42.91200256"/>
        <n v="1.9210052499999932"/>
        <n v="29.876998900000004"/>
        <n v="30.43199921"/>
        <n v="86.29199982"/>
        <n v="51.5850029"/>
        <n v="82.56799889"/>
        <n v="63.125"/>
        <n v="67.75799942"/>
        <n v="53.85900116"/>
        <n v="76.47999954"/>
        <n v="75.76799965000001"/>
        <n v="51.87799835"/>
        <n v="7.763999940000005"/>
        <n v="44.52499771"/>
        <n v="35.833999629999994"/>
        <n v="48.16400146"/>
        <n v="55.3710022"/>
        <n v="42.32899857"/>
        <n v="12.27300262"/>
        <n v="82.57299995"/>
        <n v="45.80599976"/>
        <n v="56.09099579"/>
        <n v="69.39299965000001"/>
        <n v="81.28700066"/>
        <n v="83.37400055"/>
        <n v="13.759002690000003"/>
        <n v="37.61899948"/>
        <n v="48.29400253"/>
        <n v="42.43999481"/>
        <n v="61.4659996"/>
        <n v="11.721000669999995"/>
        <n v="79.42399979"/>
        <n v="62.09200287"/>
        <n v="42.65100098"/>
        <n v="62.9260025"/>
        <n v="22.840003969999998"/>
        <n v="33.17500305"/>
        <n v="21.702995299999998"/>
        <n v="49.58400345"/>
        <n v="15.712997439999995"/>
        <n v="36.46800232"/>
        <n v="18.437995909999998"/>
        <n v="39.95699692"/>
        <n v="73.97400093"/>
        <n v="29.10700226"/>
        <n v="30.391998290000004"/>
        <n v="64.74700165"/>
        <n v="26.266998290000004"/>
        <n v="7.888999940000005"/>
        <n v="75.04599953"/>
        <n v="19.19000244"/>
        <n v="18.575004579999998"/>
        <n v="18.585998540000006"/>
        <n v="72.00500106999999"/>
        <n v="68.85899925"/>
        <n v="32.64599609"/>
        <n v="64.77299880999999"/>
        <n v="28.961006159999997"/>
        <n v="19.025001529999997"/>
        <n v="16.097000120000004"/>
        <n v="48.56999969"/>
        <n v="22.546997070000003"/>
        <n v="24.125999449999995"/>
        <n v="23.894996640000002"/>
        <n v="54.36199951"/>
        <n v="62.65999985"/>
        <n v="57.21699905"/>
        <n v="52.59200287"/>
        <n v="78.30500031"/>
        <n v="8.218002319999997"/>
        <n v="19.269004820000006"/>
        <n v="25.245994569999993"/>
        <n v="61.82299805"/>
        <n v="48.04199982"/>
        <n v="12.927001950000005"/>
        <n v="62.83499908"/>
        <n v="43.35900116"/>
        <n v="17.335998540000006"/>
        <n v="65.07399749999999"/>
        <n v="38.28691101"/>
        <m/>
      </sharedItems>
    </cacheField>
    <cacheField name="Rounded_up_pop_U %" numFmtId="0">
      <sharedItems containsString="0" containsBlank="1" containsNumber="1" containsInteger="1">
        <n v="0.0"/>
        <n v="47.0"/>
        <n v="79.0"/>
        <n v="10.0"/>
        <n v="90.0"/>
        <n v="41.0"/>
        <n v="100.0"/>
        <n v="65.0"/>
        <n v="76.0"/>
        <n v="81.0"/>
        <n v="49.0"/>
        <n v="98.0"/>
        <n v="15.0"/>
        <n v="43.0"/>
        <n v="88.0"/>
        <n v="92.0"/>
        <n v="78.0"/>
        <n v="53.0"/>
        <n v="96.0"/>
        <n v="24.0"/>
        <n v="56.0"/>
        <n v="95.0"/>
        <n v="19.0"/>
        <n v="18.0"/>
        <n v="75.0"/>
        <n v="46.0"/>
        <n v="62.0"/>
        <n v="72.0"/>
        <n v="32.0"/>
        <n v="86.0"/>
        <n v="26.0"/>
        <n v="94.0"/>
        <n v="99.0"/>
        <n v="67.0"/>
        <n v="68.0"/>
        <n v="25.0"/>
        <n v="27.0"/>
        <n v="58.0"/>
        <n v="70.0"/>
        <n v="54.0"/>
        <n v="69.0"/>
        <n v="45.0"/>
        <n v="59.0"/>
        <n v="30.0"/>
        <n v="91.0"/>
        <n v="71.0"/>
        <n v="63.0"/>
        <n v="57.0"/>
        <n v="64.0"/>
        <n v="50.0"/>
        <n v="60.0"/>
        <n v="87.0"/>
        <n v="77.0"/>
        <n v="83.0"/>
        <n v="89.0"/>
        <n v="74.0"/>
        <n v="37.0"/>
        <n v="93.0"/>
        <n v="14.0"/>
        <n v="80.0"/>
        <n v="28.0"/>
        <n v="21.0"/>
        <n v="33.0"/>
        <n v="52.0"/>
        <n v="55.0"/>
        <n v="44.0"/>
        <n v="31.0"/>
        <n v="17.0"/>
        <n v="39.0"/>
        <n v="38.0"/>
        <n v="51.0"/>
        <n v="85.0"/>
        <n v="82.0"/>
        <n v="61.0"/>
        <n v="36.0"/>
        <n v="84.0"/>
        <n v="48.0"/>
        <n v="22.0"/>
        <n v="35.0"/>
        <m/>
      </sharedItems>
    </cacheField>
    <cacheField name="Rounded_up_pop_R %" numFmtId="0">
      <sharedItems containsString="0" containsBlank="1" containsNumber="1" containsInteger="1">
        <n v="100.0"/>
        <n v="54.0"/>
        <n v="22.0"/>
        <n v="91.0"/>
        <n v="11.0"/>
        <n v="60.0"/>
        <n v="0.0"/>
        <n v="36.0"/>
        <n v="25.0"/>
        <n v="20.0"/>
        <n v="52.0"/>
        <n v="3.0"/>
        <n v="86.0"/>
        <n v="58.0"/>
        <n v="13.0"/>
        <n v="9.0"/>
        <n v="23.0"/>
        <n v="48.0"/>
        <n v="5.0"/>
        <n v="77.0"/>
        <n v="45.0"/>
        <n v="6.0"/>
        <n v="82.0"/>
        <n v="83.0"/>
        <n v="26.0"/>
        <n v="55.0"/>
        <n v="39.0"/>
        <n v="29.0"/>
        <n v="69.0"/>
        <n v="15.0"/>
        <n v="75.0"/>
        <n v="7.0"/>
        <n v="2.0"/>
        <n v="34.0"/>
        <n v="33.0"/>
        <n v="76.0"/>
        <n v="74.0"/>
        <n v="1.0"/>
        <n v="43.0"/>
        <n v="31.0"/>
        <n v="47.0"/>
        <n v="32.0"/>
        <n v="56.0"/>
        <n v="42.0"/>
        <n v="71.0"/>
        <n v="10.0"/>
        <n v="30.0"/>
        <n v="38.0"/>
        <n v="44.0"/>
        <n v="37.0"/>
        <n v="51.0"/>
        <n v="41.0"/>
        <n v="14.0"/>
        <n v="24.0"/>
        <n v="18.0"/>
        <n v="12.0"/>
        <n v="27.0"/>
        <n v="64.0"/>
        <n v="8.0"/>
        <n v="87.0"/>
        <n v="21.0"/>
        <n v="73.0"/>
        <n v="80.0"/>
        <n v="68.0"/>
        <n v="49.0"/>
        <n v="46.0"/>
        <n v="57.0"/>
        <n v="70.0"/>
        <n v="84.0"/>
        <n v="62.0"/>
        <n v="63.0"/>
        <n v="50.0"/>
        <n v="16.0"/>
        <n v="19.0"/>
        <n v="40.0"/>
        <n v="65.0"/>
        <n v="17.0"/>
        <n v="53.0"/>
        <n v="79.0"/>
        <n v="66.0"/>
        <m/>
      </sharedItems>
    </cacheField>
    <cacheField name="Rounded-up pop_n (m)" numFmtId="0">
      <sharedItems containsString="0" containsBlank="1" containsNumber="1" containsInteger="1">
        <n v="1.0"/>
        <n v="2.0"/>
        <n v="3.0"/>
        <n v="4.0"/>
        <n v="5.0"/>
        <n v="6.0"/>
        <n v="7.0"/>
        <n v="8.0"/>
        <n v="9.0"/>
        <n v="10.0"/>
        <n v="11.0"/>
        <n v="12.0"/>
        <n v="13.0"/>
        <n v="14.0"/>
        <n v="15.0"/>
        <n v="16.0"/>
        <n v="17.0"/>
        <n v="18.0"/>
        <n v="19.0"/>
        <n v="20.0"/>
        <n v="21.0"/>
        <n v="22.0"/>
        <n v="25.0"/>
        <n v="26.0"/>
        <n v="27.0"/>
        <n v="28.0"/>
        <n v="29.0"/>
        <n v="30.0"/>
        <n v="32.0"/>
        <n v="33.0"/>
        <n v="34.0"/>
        <n v="35.0"/>
        <n v="37.0"/>
        <n v="38.0"/>
        <n v="39.0"/>
        <n v="41.0"/>
        <n v="44.0"/>
        <n v="46.0"/>
        <n v="47.0"/>
        <n v="51.0"/>
        <n v="52.0"/>
        <n v="54.0"/>
        <n v="55.0"/>
        <n v="60.0"/>
        <n v="61.0"/>
        <n v="66.0"/>
        <n v="68.0"/>
        <n v="70.0"/>
        <n v="84.0"/>
        <n v="85.0"/>
        <n v="90.0"/>
        <n v="98.0"/>
        <n v="103.0"/>
        <n v="110.0"/>
        <n v="115.0"/>
        <n v="127.0"/>
        <n v="129.0"/>
        <n v="146.0"/>
        <n v="165.0"/>
        <n v="207.0"/>
        <n v="213.0"/>
        <n v="221.0"/>
        <n v="274.0"/>
        <n v="332.0"/>
        <n v="1381.0"/>
        <n v="1464.0"/>
        <m/>
      </sharedItems>
    </cacheField>
    <cacheField name="Rounded-up pop_u (m)" numFmtId="0">
      <sharedItems containsString="0" containsBlank="1" containsNumber="1" containsInteger="1">
        <n v="0.0"/>
        <n v="1.0"/>
        <n v="2.0"/>
        <n v="3.0"/>
        <n v="4.0"/>
        <n v="5.0"/>
        <n v="6.0"/>
        <n v="7.0"/>
        <n v="8.0"/>
        <n v="9.0"/>
        <n v="10.0"/>
        <n v="12.0"/>
        <n v="16.0"/>
        <n v="11.0"/>
        <n v="17.0"/>
        <n v="22.0"/>
        <n v="14.0"/>
        <n v="26.0"/>
        <n v="18.0"/>
        <n v="25.0"/>
        <n v="30.0"/>
        <n v="24.0"/>
        <n v="31.0"/>
        <n v="23.0"/>
        <n v="29.0"/>
        <n v="33.0"/>
        <n v="42.0"/>
        <n v="38.0"/>
        <n v="40.0"/>
        <n v="43.0"/>
        <n v="53.0"/>
        <n v="57.0"/>
        <n v="36.0"/>
        <n v="65.0"/>
        <n v="64.0"/>
        <n v="41.0"/>
        <n v="37.0"/>
        <n v="44.0"/>
        <n v="52.0"/>
        <n v="117.0"/>
        <n v="105.0"/>
        <n v="110.0"/>
        <n v="63.0"/>
        <n v="108.0"/>
        <n v="186.0"/>
        <n v="83.0"/>
        <n v="155.0"/>
        <n v="274.0"/>
        <n v="482.0"/>
        <n v="903.0"/>
        <m/>
      </sharedItems>
    </cacheField>
    <cacheField name="Rounded-up pop_r(m)" numFmtId="0">
      <sharedItems containsString="0" containsBlank="1" containsNumber="1" containsInteger="1">
        <n v="1.0"/>
        <n v="0.0"/>
        <n v="2.0"/>
        <n v="3.0"/>
        <n v="5.0"/>
        <n v="4.0"/>
        <n v="8.0"/>
        <n v="7.0"/>
        <n v="9.0"/>
        <n v="11.0"/>
        <n v="13.0"/>
        <n v="16.0"/>
        <n v="12.0"/>
        <n v="15.0"/>
        <n v="18.0"/>
        <n v="21.0"/>
        <n v="10.0"/>
        <n v="24.0"/>
        <n v="19.0"/>
        <n v="14.0"/>
        <n v="20.0"/>
        <n v="17.0"/>
        <n v="6.0"/>
        <n v="29.0"/>
        <n v="35.0"/>
        <n v="39.0"/>
        <n v="38.0"/>
        <n v="34.0"/>
        <n v="49.0"/>
        <n v="61.0"/>
        <n v="59.0"/>
        <n v="58.0"/>
        <n v="91.0"/>
        <n v="25.0"/>
        <n v="37.0"/>
        <n v="102.0"/>
        <n v="100.0"/>
        <n v="28.0"/>
        <n v="139.0"/>
        <n v="119.0"/>
        <n v="899.0"/>
        <n v="561.0"/>
        <m/>
      </sharedItems>
    </cacheField>
    <cacheField name="wat_bas_n(rounded)">
      <sharedItems containsBlank="1" containsMixedTypes="1" containsNumber="1" containsInteger="1">
        <n v="100.0"/>
        <n v="97.0"/>
        <n v="95.0"/>
        <n v="98.0"/>
        <n v="91.0"/>
        <n v="99.0"/>
        <n v="89.0"/>
        <n v="78.0"/>
        <n v="92.0"/>
        <n v="96.0"/>
        <n v="94.0"/>
        <n v="67.0"/>
        <n v="76.0"/>
        <n v="71.0"/>
        <n v="85.0"/>
        <n v="59.0"/>
        <n v="72.0"/>
        <n v="81.0"/>
        <n v="84.0"/>
        <s v="NAN"/>
        <n v="37.0"/>
        <n v="75.0"/>
        <n v="74.0"/>
        <n v="82.0"/>
        <n v="93.0"/>
        <n v="64.0"/>
        <n v="69.0"/>
        <n v="45.0"/>
        <n v="41.0"/>
        <n v="62.0"/>
        <n v="65.0"/>
        <n v="60.0"/>
        <n v="63.0"/>
        <n v="56.0"/>
        <n v="46.0"/>
        <n v="70.0"/>
        <n v="83.0"/>
        <n v="47.0"/>
        <n v="66.0"/>
        <n v="53.0"/>
        <n v="90.0"/>
        <n v="61.0"/>
        <n v="86.0"/>
        <n v="57.0"/>
        <n v="50.0"/>
        <m/>
      </sharedItems>
    </cacheField>
    <cacheField name="rounded-up pop_u (m)2" numFmtId="0">
      <sharedItems containsString="0" containsBlank="1" containsNumber="1" containsInteger="1">
        <n v="0.0"/>
        <n v="1.0"/>
        <m/>
      </sharedItems>
    </cacheField>
    <cacheField name="Column 1" numFmtId="0">
      <sharedItems containsString="0" containsBlank="1">
        <m/>
      </sharedItems>
    </cacheField>
    <cacheField name="Column 2" numFmtId="0">
      <sharedItems containsString="0" containsBlank="1">
        <m/>
      </sharedItems>
    </cacheField>
    <cacheField name="Column 3" numFmtId="0">
      <sharedItems containsString="0" containsBlank="1">
        <m/>
      </sharedItems>
    </cacheField>
    <cacheField name="Column 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G8" firstHeaderRow="0" firstDataRow="2" firstDataCol="0"/>
  <pivotFields>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income_group" compact="0" outline="0" multipleItemSelectionAllowed="1" showAll="0">
      <items>
        <item x="0"/>
        <item x="1"/>
        <item x="2"/>
        <item x="3"/>
        <item x="4"/>
        <item x="5"/>
        <item t="default"/>
      </items>
    </pivotField>
    <pivotField name="income_group_num" axis="axisRow" compact="0" outline="0" multipleItemSelectionAllowed="1" showAll="0" sortType="ascending">
      <items>
        <item x="0"/>
        <item x="4"/>
        <item x="3"/>
        <item x="2"/>
        <item x="1"/>
        <item x="5"/>
        <item t="default"/>
      </items>
    </pivotField>
    <pivotField name="pop_n (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pop_u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wat_bas_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name="wat_lim_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wat_unimp_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wat_sur_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wat_bas_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wat_lim_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wat_unimp_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wat_sur_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wat_bas_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wat_lim_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wat_unimp_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wat_sur_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value_cnt" compact="0" outline="0" multipleItemSelectionAllowed="1" showAll="0">
      <items>
        <item x="0"/>
        <item x="1"/>
        <item t="default"/>
      </items>
    </pivotField>
    <pivotField name="pop_n_bill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pop_u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pop_r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name="pop_u (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pop_r (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name="pop_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Rounded_up_pop_U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Rounded_up_pop_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Rounded-up pop_n (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Rounded-up pop_u (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Rounded-up pop_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wat_bas_n(roun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rounded-up pop_u (m)2" compact="0" outline="0" multipleItemSelectionAllowed="1" showAll="0">
      <items>
        <item x="0"/>
        <item x="1"/>
        <item x="2"/>
        <item t="default"/>
      </items>
    </pivotField>
    <pivotField name="Column 1" compact="0" outline="0" multipleItemSelectionAllowed="1" showAll="0">
      <items>
        <item x="0"/>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s>
  <rowFields>
    <field x="2"/>
  </rowFields>
  <colFields>
    <field x="-2"/>
  </colFields>
  <dataFields>
    <dataField name="SUM of pop_n_billion" fld="18" baseField="0"/>
    <dataField name="AVERAGE of pop_u %" fld="4" subtotal="average" baseField="0"/>
    <dataField name="AVERAGE of wat_bas_n" fld="5" subtotal="average" baseField="0"/>
    <dataField name="AVERAGE of wat_lim_n" fld="6" subtotal="average" baseField="0"/>
    <dataField name="AVERAGE of wat_unimp_n" fld="7" subtotal="average" baseField="0"/>
    <dataField name="AVERAGE of wat_sur_n" fld="8" subtotal="average" baseField="0"/>
  </dataFields>
</pivotTableDefinition>
</file>

<file path=xl/tables/table1.xml><?xml version="1.0" encoding="utf-8"?>
<table xmlns="http://schemas.openxmlformats.org/spreadsheetml/2006/main" ref="A1:AI1000" displayName="Table8" name="Table8" id="1">
  <tableColumns count="35">
    <tableColumn name="name" id="1"/>
    <tableColumn name="income_group" id="2"/>
    <tableColumn name="income_group_num" id="3"/>
    <tableColumn name="pop_n (th)" id="4"/>
    <tableColumn name="pop_u %" id="5"/>
    <tableColumn name="wat_bas_n" id="6"/>
    <tableColumn name="wat_lim_n" id="7"/>
    <tableColumn name="wat_unimp_n" id="8"/>
    <tableColumn name="wat_sur_n" id="9"/>
    <tableColumn name="wat_bas_r" id="10"/>
    <tableColumn name="wat_lim_r" id="11"/>
    <tableColumn name="wat_unimp_r" id="12"/>
    <tableColumn name="wat_sur_r" id="13"/>
    <tableColumn name="wat_bas_u" id="14"/>
    <tableColumn name="wat_lim_u" id="15"/>
    <tableColumn name="wat_unimp_u" id="16"/>
    <tableColumn name="wat_sur_u" id="17"/>
    <tableColumn name="value_cnt" id="18"/>
    <tableColumn name="pop_n_billion" id="19"/>
    <tableColumn name="pop_u_value" id="20"/>
    <tableColumn name="pop_r_value" id="21"/>
    <tableColumn name="pop_u (th)" id="22"/>
    <tableColumn name="pop_r (th)" id="23"/>
    <tableColumn name="pop_r %" id="24"/>
    <tableColumn name="Rounded_up_pop_U %" id="25"/>
    <tableColumn name="Rounded_up_pop_R %" id="26"/>
    <tableColumn name="Rounded-up pop_n (m)" id="27"/>
    <tableColumn name="Rounded-up pop_u (m)" id="28"/>
    <tableColumn name="Rounded-up pop_r(m)" id="29"/>
    <tableColumn name="wat_bas_n(rounded)" id="30"/>
    <tableColumn name="Rounded-up pop_u (m) 2" id="31"/>
    <tableColumn name="Column 1" id="32"/>
    <tableColumn name="Column 2" id="33"/>
    <tableColumn name="Column 3" id="34"/>
    <tableColumn name="Column 4" id="35"/>
  </tableColumns>
  <tableStyleInfo name="Estimates-on-the-use-of-water-(-style" showColumnStripes="0" showFirstColumn="1" showLastColumn="1" showRowStripes="1"/>
</table>
</file>

<file path=xl/tables/table2.xml><?xml version="1.0" encoding="utf-8"?>
<table xmlns="http://schemas.openxmlformats.org/spreadsheetml/2006/main" totalsRowCount="1" ref="A12:E19" displayName="Table9" name="Table9" id="3">
  <tableColumns count="5">
    <tableColumn name="income_group_num" id="1"/>
    <tableColumn name="AVERAGE of wat_bas_n" id="2"/>
    <tableColumn name="AVERAGE of wat_lim_n" id="3"/>
    <tableColumn name="AVERAGE of wat_unimp_n" id="4"/>
    <tableColumn name="AVERAGE of wat_sur_n" id="5"/>
  </tableColumns>
  <tableStyleInfo name="Pivot Table 1-style" showColumnStripes="0" showFirstColumn="1" showLastColumn="1" showRowStripes="1"/>
</table>
</file>

<file path=xl/tables/table3.xml><?xml version="1.0" encoding="utf-8"?>
<table xmlns="http://schemas.openxmlformats.org/spreadsheetml/2006/main" totalsRowCount="1" ref="A45:B50" displayName="Table10" name="Table10" id="4">
  <autoFilter ref="$A$45:$B$50"/>
  <tableColumns count="2">
    <tableColumn name="income_group_num" id="1"/>
    <tableColumn name="AVERAGE of pop_u %" id="2"/>
  </tableColumns>
  <tableStyleInfo name="Pivot Table 1-style 2" showColumnStripes="0" showFirstColumn="1" showLastColumn="1" showRowStripes="1"/>
</table>
</file>

<file path=xl/tables/table4.xml><?xml version="1.0" encoding="utf-8"?>
<table xmlns="http://schemas.openxmlformats.org/spreadsheetml/2006/main" totalsRowCount="1" ref="A72:B77" displayName="Table11" name="Table11" id="5">
  <tableColumns count="2">
    <tableColumn name="income_group_num" id="1"/>
    <tableColumn name="SUM of pop_n (th)" id="2"/>
  </tableColumns>
  <tableStyleInfo name="Pivot Table 1-style 3" showColumnStripes="0" showFirstColumn="1" showLastColumn="1" showRowStripes="1"/>
</table>
</file>

<file path=xl/tables/table5.xml><?xml version="1.0" encoding="utf-8"?>
<table xmlns="http://schemas.openxmlformats.org/spreadsheetml/2006/main" ref="A23:J27" displayName="Table2" name="Table2" id="6">
  <tableColumns count="10">
    <tableColumn name="FEATURES" id="1"/>
    <tableColumn name="MAX" id="2"/>
    <tableColumn name="MIN" id="3"/>
    <tableColumn name="mean" id="4"/>
    <tableColumn name="median" id="5"/>
    <tableColumn name="mode" id="6"/>
    <tableColumn name="QRTL 1" id="7"/>
    <tableColumn name="QRTL 3" id="8"/>
    <tableColumn name="IQR" id="9"/>
    <tableColumn name="STDEV" id="10"/>
  </tableColumns>
  <tableStyleInfo name="Global 2020 Report.-style" showColumnStripes="0" showFirstColumn="1" showLastColumn="1" showRowStripes="1"/>
</table>
</file>

<file path=xl/tables/table6.xml><?xml version="1.0" encoding="utf-8"?>
<table xmlns="http://schemas.openxmlformats.org/spreadsheetml/2006/main" ref="A31:E35" displayName="Table4" name="Table4" id="7">
  <tableColumns count="5">
    <tableColumn name="Feature" id="1"/>
    <tableColumn name="Low (Min)" id="2"/>
    <tableColumn name="Open (Q1)" id="3"/>
    <tableColumn name="Close (Q3)" id="4"/>
    <tableColumn name="High (Max)" id="5"/>
  </tableColumns>
  <tableStyleInfo name="Global 2020 Report.-style 2" showColumnStripes="0" showFirstColumn="1" showLastColumn="1" showRowStripes="1"/>
</table>
</file>

<file path=xl/tables/table7.xml><?xml version="1.0" encoding="utf-8"?>
<table xmlns="http://schemas.openxmlformats.org/spreadsheetml/2006/main" ref="A47:J51" displayName="Table1" name="Table1" id="8">
  <tableColumns count="10">
    <tableColumn name="FEATURES" id="1"/>
    <tableColumn name="MAX" id="2"/>
    <tableColumn name="MIN" id="3"/>
    <tableColumn name="mean" id="4"/>
    <tableColumn name="median" id="5"/>
    <tableColumn name="mode" id="6"/>
    <tableColumn name="QRTL 1" id="7"/>
    <tableColumn name="QRTL 3" id="8"/>
    <tableColumn name="IQR" id="9"/>
    <tableColumn name="STDEV" id="10"/>
  </tableColumns>
  <tableStyleInfo name="Global 2020 Report.-style 3" showColumnStripes="0" showFirstColumn="1" showLastColumn="1" showRowStripes="1"/>
</table>
</file>

<file path=xl/tables/table8.xml><?xml version="1.0" encoding="utf-8"?>
<table xmlns="http://schemas.openxmlformats.org/spreadsheetml/2006/main" ref="A54:E58" displayName="Table5" name="Table5" id="9">
  <tableColumns count="5">
    <tableColumn name="Feature" id="1"/>
    <tableColumn name="Low (Min)" id="2"/>
    <tableColumn name="Open (Q1)" id="3"/>
    <tableColumn name="Close (Q3)" id="4"/>
    <tableColumn name="High (Max)" id="5"/>
  </tableColumns>
  <tableStyleInfo name="Global 2020 Report.-style 4" showColumnStripes="0" showFirstColumn="1" showLastColumn="1" showRowStripes="1"/>
</table>
</file>

<file path=xl/tables/table9.xml><?xml version="1.0" encoding="utf-8"?>
<table xmlns="http://schemas.openxmlformats.org/spreadsheetml/2006/main" ref="A72:J76" displayName="Table3" name="Table3" id="10">
  <tableColumns count="10">
    <tableColumn name="FEATURES" id="1"/>
    <tableColumn name="MAX" id="2"/>
    <tableColumn name="MIN" id="3"/>
    <tableColumn name="mean" id="4"/>
    <tableColumn name="median" id="5"/>
    <tableColumn name="mode" id="6"/>
    <tableColumn name="QRTL 1" id="7"/>
    <tableColumn name="QRTL 3" id="8"/>
    <tableColumn name="IQR" id="9"/>
    <tableColumn name="STDEV" id="10"/>
  </tableColumns>
  <tableStyleInfo name="Global 2020 Report.-style 5" showColumnStripes="0" showFirstColumn="1" showLastColumn="1" showRowStripes="1"/>
</table>
</file>

<file path=xl/tables/table10.xml><?xml version="1.0" encoding="utf-8"?>
<table xmlns="http://schemas.openxmlformats.org/spreadsheetml/2006/main" ref="A80:E84" displayName="Table6" name="Table6" id="11">
  <tableColumns count="5">
    <tableColumn name="Feature" id="1"/>
    <tableColumn name="Low (Min)" id="2"/>
    <tableColumn name="Open (Q1)" id="3"/>
    <tableColumn name="Close (Q3)" id="4"/>
    <tableColumn name="High (Max)" id="5"/>
  </tableColumns>
  <tableStyleInfo name="Global 2020 Report.-style 6" showColumnStripes="0" showFirstColumn="1" showLastColumn="1" showRowStripes="1"/>
</table>
</file>

<file path=xl/tables/table11.xml><?xml version="1.0" encoding="utf-8"?>
<table xmlns="http://schemas.openxmlformats.org/spreadsheetml/2006/main" ref="A99:E111" displayName="Table7" name="Table7" id="12">
  <tableColumns count="5">
    <tableColumn name="Feature" id="1"/>
    <tableColumn name="Low (Min)" id="2"/>
    <tableColumn name="Open (Q1)" id="3"/>
    <tableColumn name="Close (Q3)" id="4"/>
    <tableColumn name="High (Max)" id="5"/>
  </tableColumns>
  <tableStyleInfo name="Global 2020 Report.-style 7" showColumnStripes="0" showFirstColumn="1" showLastColumn="1" showRowStripes="1"/>
</table>
</file>

<file path=xl/tables/table12.xml><?xml version="1.0" encoding="utf-8"?>
<table xmlns="http://schemas.openxmlformats.org/spreadsheetml/2006/main" ref="A2:E14" displayName="ACCESS_TO_BASIC_WATER_SERVICES" name="ACCESS_TO_BASIC_WATER_SERVICES" id="2">
  <tableColumns count="5">
    <tableColumn name="Feature" id="1"/>
    <tableColumn name="Low (Min)" id="2"/>
    <tableColumn name="Open (Q1)" id="3"/>
    <tableColumn name="Close (Q3)" id="4"/>
    <tableColumn name="High (Max)" id="5"/>
  </tableColumns>
  <tableStyleInfo name="access distribution dashboard-style" showColumnStripes="0" showFirstColumn="1" showLastColumn="1" showRowStripes="1"/>
</table>
</file>

<file path=xl/tables/table13.xml><?xml version="1.0" encoding="utf-8"?>
<table xmlns="http://schemas.openxmlformats.org/spreadsheetml/2006/main" headerRowCount="0" ref="S5:S9" displayName="Table_1" name="Table_1" id="13">
  <tableColumns count="1">
    <tableColumn name="Column1" id="1"/>
  </tableColumns>
  <tableStyleInfo name="ORDERED AND AGGREGATED POPvsACC-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091A39"/>
      </a:lt1>
      <a:dk2>
        <a:srgbClr val="000000"/>
      </a:dk2>
      <a:lt2>
        <a:srgbClr val="091A39"/>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9" dT="2026-08-15T12:27:09.00" personId="{645a71e6-704e-4f01-b9a9-266522cf233e}" id="{6fbf9218-99a9-42f5-9cab-3041fccbb4ee}" done="0">
    <x18tc:text xml:space="preserve">Countries with different urban population shares generally maintain a high proportion of basic water access in their urban populations, although some groups show variation and higher shares of limited, unimproved, or surface water.</x18tc:text>
  </x18tc:threadedComment>
  <x18tc:threadedComment ref="M49" dT="2026-08-15T12:28:10.00" personId="{645a71e6-704e-4f01-b9a9-266522cf233e}" id="{2ac4b61e-b3f3-44e3-b943-1440fed00b8d}" done="0">
    <x18tc:text xml:space="preserve">Higher rural population shares appear to be associated with a lower average share of basic water access and a greater presence of lower water-service levels.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15" Type="http://schemas.openxmlformats.org/officeDocument/2006/relationships/table" Target="../tables/table11.xml"/><Relationship Id="rId1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 Id="rId5"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2.vml"/><Relationship Id="rId7"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5"/>
    <col customWidth="1" min="2" max="2" width="18.0"/>
    <col customWidth="1" min="3" max="3" width="20.13"/>
    <col customWidth="1" min="4" max="4" width="13.0"/>
    <col customWidth="1" min="6" max="6" width="13.38"/>
    <col customWidth="1" min="7" max="7" width="12.88"/>
    <col customWidth="1" min="8" max="8" width="15.75"/>
    <col customWidth="1" min="9" max="10" width="13.0"/>
    <col customWidth="1" min="12" max="12" width="14.88"/>
    <col customWidth="1" min="14" max="14" width="13.38"/>
    <col customWidth="1" min="15" max="15" width="12.88"/>
    <col customWidth="1" min="16" max="16" width="15.75"/>
    <col customWidth="1" min="17" max="17" width="13.0"/>
    <col customWidth="1" min="19" max="19" width="15.13"/>
    <col customWidth="1" min="20" max="20" width="14.63"/>
    <col customWidth="1" min="21" max="21" width="14.25"/>
    <col customWidth="1" min="22" max="23" width="13.0"/>
    <col customWidth="1" min="25" max="25" width="21.75"/>
    <col customWidth="1" min="26" max="26" width="21.63"/>
    <col customWidth="1" min="27" max="28" width="22.38"/>
    <col customWidth="1" min="29" max="29" width="21.5"/>
    <col customWidth="1" min="30" max="30" width="20.63"/>
    <col customWidth="1" min="31" max="31" width="22.38"/>
  </cols>
  <sheetData>
    <row r="1" ht="22.5" customHeight="1">
      <c r="A1" s="4" t="s">
        <v>3</v>
      </c>
      <c r="B1" s="4" t="s">
        <v>4</v>
      </c>
      <c r="C1" s="5" t="s">
        <v>5</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21</v>
      </c>
      <c r="T1" s="4" t="s">
        <v>22</v>
      </c>
      <c r="U1" s="4" t="s">
        <v>23</v>
      </c>
      <c r="V1" s="4" t="s">
        <v>24</v>
      </c>
      <c r="W1" s="4" t="s">
        <v>25</v>
      </c>
      <c r="X1" s="4" t="s">
        <v>26</v>
      </c>
      <c r="Y1" s="4" t="s">
        <v>0</v>
      </c>
      <c r="Z1" s="4" t="s">
        <v>1</v>
      </c>
      <c r="AA1" s="4" t="s">
        <v>2</v>
      </c>
      <c r="AB1" s="4" t="s">
        <v>27</v>
      </c>
      <c r="AC1" s="4" t="s">
        <v>28</v>
      </c>
      <c r="AD1" s="4" t="s">
        <v>29</v>
      </c>
      <c r="AE1" s="4" t="s">
        <v>30</v>
      </c>
      <c r="AF1" s="6" t="s">
        <v>31</v>
      </c>
      <c r="AG1" s="6" t="s">
        <v>32</v>
      </c>
      <c r="AH1" s="6" t="s">
        <v>33</v>
      </c>
      <c r="AI1" s="6" t="s">
        <v>34</v>
      </c>
    </row>
    <row r="2" ht="22.5" customHeight="1">
      <c r="A2" s="7" t="s">
        <v>35</v>
      </c>
      <c r="B2" s="7" t="s">
        <v>36</v>
      </c>
      <c r="C2" s="8">
        <f t="shared" ref="C2:C1000" si="3">IF(B2="NAN",0, IF(B2="Low income",1, IF(B2="Lower middle income",2, IF(B2="Upper middle income",3, IF(B2="High income",4,"")))))</f>
        <v>0</v>
      </c>
      <c r="D2" s="7">
        <v>1.350000024</v>
      </c>
      <c r="E2" s="7">
        <v>0.0</v>
      </c>
      <c r="F2" s="7">
        <v>99.70767665</v>
      </c>
      <c r="G2" s="7">
        <v>0.0</v>
      </c>
      <c r="H2" s="7">
        <v>0.2923233459</v>
      </c>
      <c r="I2" s="7">
        <v>0.0</v>
      </c>
      <c r="J2" s="7">
        <v>99.70767665</v>
      </c>
      <c r="K2" s="7">
        <v>0.0</v>
      </c>
      <c r="L2" s="7">
        <v>0.2923233459</v>
      </c>
      <c r="M2" s="7">
        <v>0.0</v>
      </c>
      <c r="N2" s="7" t="s">
        <v>36</v>
      </c>
      <c r="O2" s="7" t="s">
        <v>36</v>
      </c>
      <c r="P2" s="7" t="s">
        <v>36</v>
      </c>
      <c r="Q2" s="7" t="s">
        <v>36</v>
      </c>
      <c r="R2" s="8">
        <f t="shared" ref="R2:R214" si="4">COUNTA(A2:Q2)</f>
        <v>17</v>
      </c>
      <c r="S2" s="8">
        <f t="shared" ref="S2:S23" si="5">D2*1000</f>
        <v>1350.000024</v>
      </c>
      <c r="T2" s="8">
        <f t="shared" ref="T2:T23" si="6">S2*E2/100</f>
        <v>0</v>
      </c>
      <c r="U2" s="8">
        <f t="shared" ref="U2:U214" si="7">S2*X2/100</f>
        <v>1350.000024</v>
      </c>
      <c r="V2" s="8">
        <f t="shared" ref="V2:W2" si="1">T2/1000</f>
        <v>0</v>
      </c>
      <c r="W2" s="8">
        <f t="shared" si="1"/>
        <v>1.350000024</v>
      </c>
      <c r="X2" s="8">
        <f t="shared" ref="X2:X214" si="9">100-E2</f>
        <v>100</v>
      </c>
      <c r="Y2" s="8">
        <f t="shared" ref="Y2:Y214" si="10">ROUNDUP(E2,0)</f>
        <v>0</v>
      </c>
      <c r="Z2" s="8">
        <f t="shared" ref="Z2:Z214" si="11">ROUNDUP(X2,0)</f>
        <v>100</v>
      </c>
      <c r="AA2" s="8">
        <f t="shared" ref="AA2:AA214" si="12">ROUNDUP(D2/1000,0)</f>
        <v>1</v>
      </c>
      <c r="AB2" s="8">
        <f t="shared" ref="AB2:AC2" si="2">ROUNDUP(V2/1000,0)</f>
        <v>0</v>
      </c>
      <c r="AC2" s="8">
        <f t="shared" si="2"/>
        <v>1</v>
      </c>
      <c r="AD2" s="8">
        <f t="shared" ref="AD2:AD85" si="14">ROUND(F2,0)</f>
        <v>100</v>
      </c>
      <c r="AE2" s="8">
        <f t="shared" ref="AE2:AE214" si="15">ROUNDUP(E2/1000,0)</f>
        <v>0</v>
      </c>
    </row>
    <row r="3" ht="22.5" customHeight="1">
      <c r="A3" s="7" t="s">
        <v>37</v>
      </c>
      <c r="B3" s="7" t="s">
        <v>36</v>
      </c>
      <c r="C3" s="7">
        <f t="shared" si="3"/>
        <v>0</v>
      </c>
      <c r="D3" s="7">
        <v>1.618000031</v>
      </c>
      <c r="E3" s="7">
        <v>46.20200348</v>
      </c>
      <c r="F3" s="7">
        <v>97.01087618</v>
      </c>
      <c r="G3" s="7">
        <v>0.0</v>
      </c>
      <c r="H3" s="7">
        <v>2.989123822</v>
      </c>
      <c r="I3" s="7">
        <v>0.0</v>
      </c>
      <c r="J3" s="7" t="s">
        <v>36</v>
      </c>
      <c r="K3" s="7" t="s">
        <v>36</v>
      </c>
      <c r="L3" s="7" t="s">
        <v>36</v>
      </c>
      <c r="M3" s="7" t="s">
        <v>36</v>
      </c>
      <c r="N3" s="7" t="s">
        <v>36</v>
      </c>
      <c r="O3" s="7" t="s">
        <v>36</v>
      </c>
      <c r="P3" s="7" t="s">
        <v>36</v>
      </c>
      <c r="Q3" s="7" t="s">
        <v>36</v>
      </c>
      <c r="R3" s="8">
        <f t="shared" si="4"/>
        <v>17</v>
      </c>
      <c r="S3" s="8">
        <f t="shared" si="5"/>
        <v>1618.000031</v>
      </c>
      <c r="T3" s="8">
        <f t="shared" si="6"/>
        <v>747.5484306</v>
      </c>
      <c r="U3" s="8">
        <f t="shared" si="7"/>
        <v>870.4516004</v>
      </c>
      <c r="V3" s="8">
        <f t="shared" ref="V3:W3" si="8">T3/1000</f>
        <v>0.7475484306</v>
      </c>
      <c r="W3" s="8">
        <f t="shared" si="8"/>
        <v>0.8704516004</v>
      </c>
      <c r="X3" s="8">
        <f t="shared" si="9"/>
        <v>53.79799652</v>
      </c>
      <c r="Y3" s="8">
        <f t="shared" si="10"/>
        <v>47</v>
      </c>
      <c r="Z3" s="8">
        <f t="shared" si="11"/>
        <v>54</v>
      </c>
      <c r="AA3" s="8">
        <f t="shared" si="12"/>
        <v>1</v>
      </c>
      <c r="AB3" s="8">
        <f t="shared" ref="AB3:AC3" si="13">ROUNDUP(V3/1000,0)</f>
        <v>1</v>
      </c>
      <c r="AC3" s="8">
        <f t="shared" si="13"/>
        <v>1</v>
      </c>
      <c r="AD3" s="8">
        <f t="shared" si="14"/>
        <v>97</v>
      </c>
      <c r="AE3" s="8">
        <f t="shared" si="15"/>
        <v>1</v>
      </c>
    </row>
    <row r="4" ht="22.5" customHeight="1">
      <c r="A4" s="7" t="s">
        <v>38</v>
      </c>
      <c r="B4" s="7" t="s">
        <v>36</v>
      </c>
      <c r="C4" s="7">
        <f t="shared" si="3"/>
        <v>0</v>
      </c>
      <c r="D4" s="7">
        <v>3.48300004</v>
      </c>
      <c r="E4" s="7">
        <v>78.50799561</v>
      </c>
      <c r="F4" s="7">
        <v>95.3089274</v>
      </c>
      <c r="G4" s="7">
        <v>0.0</v>
      </c>
      <c r="H4" s="7">
        <v>4.691072596</v>
      </c>
      <c r="I4" s="7">
        <v>0.0</v>
      </c>
      <c r="J4" s="7">
        <v>78.17294282</v>
      </c>
      <c r="K4" s="7">
        <v>0.0</v>
      </c>
      <c r="L4" s="7">
        <v>21.82705718</v>
      </c>
      <c r="M4" s="7">
        <v>0.0</v>
      </c>
      <c r="N4" s="7">
        <v>100.0</v>
      </c>
      <c r="O4" s="7">
        <v>0.0</v>
      </c>
      <c r="P4" s="7">
        <v>0.0</v>
      </c>
      <c r="Q4" s="7">
        <v>0.0</v>
      </c>
      <c r="R4" s="8">
        <f t="shared" si="4"/>
        <v>17</v>
      </c>
      <c r="S4" s="8">
        <f t="shared" si="5"/>
        <v>3483.00004</v>
      </c>
      <c r="T4" s="8">
        <f t="shared" si="6"/>
        <v>2734.433518</v>
      </c>
      <c r="U4" s="8">
        <f t="shared" si="7"/>
        <v>748.5665215</v>
      </c>
      <c r="V4" s="8">
        <f t="shared" ref="V4:W4" si="16">T4/1000</f>
        <v>2.734433518</v>
      </c>
      <c r="W4" s="8">
        <f t="shared" si="16"/>
        <v>0.7485665215</v>
      </c>
      <c r="X4" s="8">
        <f t="shared" si="9"/>
        <v>21.49200439</v>
      </c>
      <c r="Y4" s="8">
        <f t="shared" si="10"/>
        <v>79</v>
      </c>
      <c r="Z4" s="8">
        <f t="shared" si="11"/>
        <v>22</v>
      </c>
      <c r="AA4" s="8">
        <f t="shared" si="12"/>
        <v>1</v>
      </c>
      <c r="AB4" s="8">
        <f t="shared" ref="AB4:AC4" si="17">ROUNDUP(V4/1000,0)</f>
        <v>1</v>
      </c>
      <c r="AC4" s="8">
        <f t="shared" si="17"/>
        <v>1</v>
      </c>
      <c r="AD4" s="8">
        <f t="shared" si="14"/>
        <v>95</v>
      </c>
      <c r="AE4" s="8">
        <f t="shared" si="15"/>
        <v>1</v>
      </c>
    </row>
    <row r="5" ht="22.5" customHeight="1">
      <c r="A5" s="7" t="s">
        <v>39</v>
      </c>
      <c r="B5" s="7" t="s">
        <v>36</v>
      </c>
      <c r="C5" s="7">
        <f t="shared" si="3"/>
        <v>0</v>
      </c>
      <c r="D5" s="7">
        <v>4.999000072</v>
      </c>
      <c r="E5" s="7">
        <v>9.114999771</v>
      </c>
      <c r="F5" s="7">
        <v>98.07748262</v>
      </c>
      <c r="G5" s="7">
        <v>0.0</v>
      </c>
      <c r="H5" s="7">
        <v>1.922517378</v>
      </c>
      <c r="I5" s="7">
        <v>0.0</v>
      </c>
      <c r="J5" s="7" t="s">
        <v>36</v>
      </c>
      <c r="K5" s="7" t="s">
        <v>36</v>
      </c>
      <c r="L5" s="7" t="s">
        <v>36</v>
      </c>
      <c r="M5" s="7" t="s">
        <v>36</v>
      </c>
      <c r="N5" s="7" t="s">
        <v>36</v>
      </c>
      <c r="O5" s="7" t="s">
        <v>36</v>
      </c>
      <c r="P5" s="7" t="s">
        <v>36</v>
      </c>
      <c r="Q5" s="7" t="s">
        <v>36</v>
      </c>
      <c r="R5" s="8">
        <f t="shared" si="4"/>
        <v>17</v>
      </c>
      <c r="S5" s="8">
        <f t="shared" si="5"/>
        <v>4999.000072</v>
      </c>
      <c r="T5" s="8">
        <f t="shared" si="6"/>
        <v>455.6588451</v>
      </c>
      <c r="U5" s="8">
        <f t="shared" si="7"/>
        <v>4543.341227</v>
      </c>
      <c r="V5" s="8">
        <f t="shared" ref="V5:W5" si="18">T5/1000</f>
        <v>0.4556588451</v>
      </c>
      <c r="W5" s="8">
        <f t="shared" si="18"/>
        <v>4.543341227</v>
      </c>
      <c r="X5" s="8">
        <f t="shared" si="9"/>
        <v>90.88500023</v>
      </c>
      <c r="Y5" s="8">
        <f t="shared" si="10"/>
        <v>10</v>
      </c>
      <c r="Z5" s="8">
        <f t="shared" si="11"/>
        <v>91</v>
      </c>
      <c r="AA5" s="8">
        <f t="shared" si="12"/>
        <v>1</v>
      </c>
      <c r="AB5" s="8">
        <f t="shared" ref="AB5:AC5" si="19">ROUNDUP(V5/1000,0)</f>
        <v>1</v>
      </c>
      <c r="AC5" s="8">
        <f t="shared" si="19"/>
        <v>1</v>
      </c>
      <c r="AD5" s="8">
        <f t="shared" si="14"/>
        <v>98</v>
      </c>
      <c r="AE5" s="8">
        <f t="shared" si="15"/>
        <v>1</v>
      </c>
    </row>
    <row r="6" ht="22.5" customHeight="1">
      <c r="A6" s="7" t="s">
        <v>40</v>
      </c>
      <c r="B6" s="7" t="s">
        <v>36</v>
      </c>
      <c r="C6" s="7">
        <f t="shared" si="3"/>
        <v>0</v>
      </c>
      <c r="D6" s="7">
        <v>5.795000076</v>
      </c>
      <c r="E6" s="7">
        <v>89.96199799</v>
      </c>
      <c r="F6" s="7">
        <v>91.4</v>
      </c>
      <c r="G6" s="7">
        <v>0.0</v>
      </c>
      <c r="H6" s="7">
        <v>8.6</v>
      </c>
      <c r="I6" s="7">
        <v>0.0</v>
      </c>
      <c r="J6" s="7" t="s">
        <v>36</v>
      </c>
      <c r="K6" s="7" t="s">
        <v>36</v>
      </c>
      <c r="L6" s="7" t="s">
        <v>36</v>
      </c>
      <c r="M6" s="7" t="s">
        <v>36</v>
      </c>
      <c r="N6" s="7" t="s">
        <v>36</v>
      </c>
      <c r="O6" s="7" t="s">
        <v>36</v>
      </c>
      <c r="P6" s="7" t="s">
        <v>36</v>
      </c>
      <c r="Q6" s="7" t="s">
        <v>36</v>
      </c>
      <c r="R6" s="8">
        <f t="shared" si="4"/>
        <v>17</v>
      </c>
      <c r="S6" s="8">
        <f t="shared" si="5"/>
        <v>5795.000076</v>
      </c>
      <c r="T6" s="8">
        <f t="shared" si="6"/>
        <v>5213.297852</v>
      </c>
      <c r="U6" s="8">
        <f t="shared" si="7"/>
        <v>581.7022241</v>
      </c>
      <c r="V6" s="8">
        <f t="shared" ref="V6:W6" si="20">T6/1000</f>
        <v>5.213297852</v>
      </c>
      <c r="W6" s="8">
        <f t="shared" si="20"/>
        <v>0.5817022241</v>
      </c>
      <c r="X6" s="8">
        <f t="shared" si="9"/>
        <v>10.03800201</v>
      </c>
      <c r="Y6" s="8">
        <f t="shared" si="10"/>
        <v>90</v>
      </c>
      <c r="Z6" s="8">
        <f t="shared" si="11"/>
        <v>11</v>
      </c>
      <c r="AA6" s="8">
        <f t="shared" si="12"/>
        <v>1</v>
      </c>
      <c r="AB6" s="8">
        <f t="shared" ref="AB6:AC6" si="21">ROUNDUP(V6/1000,0)</f>
        <v>1</v>
      </c>
      <c r="AC6" s="8">
        <f t="shared" si="21"/>
        <v>1</v>
      </c>
      <c r="AD6" s="8">
        <f t="shared" si="14"/>
        <v>91</v>
      </c>
      <c r="AE6" s="8">
        <f t="shared" si="15"/>
        <v>1</v>
      </c>
    </row>
    <row r="7" ht="22.5" customHeight="1">
      <c r="A7" s="7" t="s">
        <v>41</v>
      </c>
      <c r="B7" s="7" t="s">
        <v>36</v>
      </c>
      <c r="C7" s="7">
        <f t="shared" si="3"/>
        <v>0</v>
      </c>
      <c r="D7" s="7">
        <v>6.071000099</v>
      </c>
      <c r="E7" s="7">
        <v>40.08200073</v>
      </c>
      <c r="F7" s="7">
        <v>99.1</v>
      </c>
      <c r="G7" s="7">
        <v>0.0</v>
      </c>
      <c r="H7" s="7">
        <v>0.9</v>
      </c>
      <c r="I7" s="7">
        <v>0.0</v>
      </c>
      <c r="J7" s="7" t="s">
        <v>36</v>
      </c>
      <c r="K7" s="7" t="s">
        <v>36</v>
      </c>
      <c r="L7" s="7" t="s">
        <v>36</v>
      </c>
      <c r="M7" s="7" t="s">
        <v>36</v>
      </c>
      <c r="N7" s="7" t="s">
        <v>36</v>
      </c>
      <c r="O7" s="7" t="s">
        <v>36</v>
      </c>
      <c r="P7" s="7" t="s">
        <v>36</v>
      </c>
      <c r="Q7" s="7" t="s">
        <v>36</v>
      </c>
      <c r="R7" s="8">
        <f t="shared" si="4"/>
        <v>17</v>
      </c>
      <c r="S7" s="8">
        <f t="shared" si="5"/>
        <v>6071.000099</v>
      </c>
      <c r="T7" s="8">
        <f t="shared" si="6"/>
        <v>2433.378304</v>
      </c>
      <c r="U7" s="8">
        <f t="shared" si="7"/>
        <v>3637.621795</v>
      </c>
      <c r="V7" s="8">
        <f t="shared" ref="V7:W7" si="22">T7/1000</f>
        <v>2.433378304</v>
      </c>
      <c r="W7" s="8">
        <f t="shared" si="22"/>
        <v>3.637621795</v>
      </c>
      <c r="X7" s="8">
        <f t="shared" si="9"/>
        <v>59.91799927</v>
      </c>
      <c r="Y7" s="8">
        <f t="shared" si="10"/>
        <v>41</v>
      </c>
      <c r="Z7" s="8">
        <f t="shared" si="11"/>
        <v>60</v>
      </c>
      <c r="AA7" s="8">
        <f t="shared" si="12"/>
        <v>1</v>
      </c>
      <c r="AB7" s="8">
        <f t="shared" ref="AB7:AC7" si="23">ROUNDUP(V7/1000,0)</f>
        <v>1</v>
      </c>
      <c r="AC7" s="8">
        <f t="shared" si="23"/>
        <v>1</v>
      </c>
      <c r="AD7" s="8">
        <f t="shared" si="14"/>
        <v>99</v>
      </c>
      <c r="AE7" s="8">
        <f t="shared" si="15"/>
        <v>1</v>
      </c>
    </row>
    <row r="8" ht="22.5" customHeight="1">
      <c r="A8" s="7" t="s">
        <v>42</v>
      </c>
      <c r="B8" s="7" t="s">
        <v>36</v>
      </c>
      <c r="C8" s="7">
        <f t="shared" si="3"/>
        <v>0</v>
      </c>
      <c r="D8" s="7">
        <v>9.885</v>
      </c>
      <c r="E8" s="7">
        <v>100.0</v>
      </c>
      <c r="F8" s="7">
        <v>100.0</v>
      </c>
      <c r="G8" s="7">
        <v>0.0</v>
      </c>
      <c r="H8" s="7">
        <v>0.0</v>
      </c>
      <c r="I8" s="7">
        <v>0.0</v>
      </c>
      <c r="J8" s="7" t="s">
        <v>36</v>
      </c>
      <c r="K8" s="7" t="s">
        <v>36</v>
      </c>
      <c r="L8" s="7" t="s">
        <v>36</v>
      </c>
      <c r="M8" s="7" t="s">
        <v>36</v>
      </c>
      <c r="N8" s="7">
        <v>100.0</v>
      </c>
      <c r="O8" s="7">
        <v>0.0</v>
      </c>
      <c r="P8" s="7">
        <v>0.0</v>
      </c>
      <c r="Q8" s="7">
        <v>0.0</v>
      </c>
      <c r="R8" s="8">
        <f t="shared" si="4"/>
        <v>17</v>
      </c>
      <c r="S8" s="8">
        <f t="shared" si="5"/>
        <v>9885</v>
      </c>
      <c r="T8" s="8">
        <f t="shared" si="6"/>
        <v>9885</v>
      </c>
      <c r="U8" s="8">
        <f t="shared" si="7"/>
        <v>0</v>
      </c>
      <c r="V8" s="8">
        <f t="shared" ref="V8:W8" si="24">T8/1000</f>
        <v>9.885</v>
      </c>
      <c r="W8" s="8">
        <f t="shared" si="24"/>
        <v>0</v>
      </c>
      <c r="X8" s="8">
        <f t="shared" si="9"/>
        <v>0</v>
      </c>
      <c r="Y8" s="8">
        <f t="shared" si="10"/>
        <v>100</v>
      </c>
      <c r="Z8" s="8">
        <f t="shared" si="11"/>
        <v>0</v>
      </c>
      <c r="AA8" s="8">
        <f t="shared" si="12"/>
        <v>1</v>
      </c>
      <c r="AB8" s="8">
        <f t="shared" ref="AB8:AC8" si="25">ROUNDUP(V8/1000,0)</f>
        <v>1</v>
      </c>
      <c r="AC8" s="8">
        <f t="shared" si="25"/>
        <v>0</v>
      </c>
      <c r="AD8" s="8">
        <f t="shared" si="14"/>
        <v>100</v>
      </c>
      <c r="AE8" s="8">
        <f t="shared" si="15"/>
        <v>1</v>
      </c>
    </row>
    <row r="9" ht="22.5" customHeight="1">
      <c r="A9" s="7" t="s">
        <v>43</v>
      </c>
      <c r="B9" s="7" t="s">
        <v>44</v>
      </c>
      <c r="C9" s="7">
        <f t="shared" si="3"/>
        <v>4</v>
      </c>
      <c r="D9" s="7">
        <v>10.83399963</v>
      </c>
      <c r="E9" s="7">
        <v>100.0</v>
      </c>
      <c r="F9" s="7">
        <v>100.0</v>
      </c>
      <c r="G9" s="7">
        <v>0.0</v>
      </c>
      <c r="H9" s="7">
        <v>0.0</v>
      </c>
      <c r="I9" s="7">
        <v>0.0</v>
      </c>
      <c r="J9" s="7" t="s">
        <v>36</v>
      </c>
      <c r="K9" s="7" t="s">
        <v>36</v>
      </c>
      <c r="L9" s="7" t="s">
        <v>36</v>
      </c>
      <c r="M9" s="7" t="s">
        <v>36</v>
      </c>
      <c r="N9" s="7">
        <v>100.0</v>
      </c>
      <c r="O9" s="7">
        <v>0.0</v>
      </c>
      <c r="P9" s="7">
        <v>0.0</v>
      </c>
      <c r="Q9" s="7">
        <v>0.0</v>
      </c>
      <c r="R9" s="8">
        <f t="shared" si="4"/>
        <v>17</v>
      </c>
      <c r="S9" s="8">
        <f t="shared" si="5"/>
        <v>10833.99963</v>
      </c>
      <c r="T9" s="8">
        <f t="shared" si="6"/>
        <v>10833.99963</v>
      </c>
      <c r="U9" s="8">
        <f t="shared" si="7"/>
        <v>0</v>
      </c>
      <c r="V9" s="8">
        <f t="shared" ref="V9:W9" si="26">T9/1000</f>
        <v>10.83399963</v>
      </c>
      <c r="W9" s="8">
        <f t="shared" si="26"/>
        <v>0</v>
      </c>
      <c r="X9" s="8">
        <f t="shared" si="9"/>
        <v>0</v>
      </c>
      <c r="Y9" s="8">
        <f t="shared" si="10"/>
        <v>100</v>
      </c>
      <c r="Z9" s="8">
        <f t="shared" si="11"/>
        <v>0</v>
      </c>
      <c r="AA9" s="8">
        <f t="shared" si="12"/>
        <v>1</v>
      </c>
      <c r="AB9" s="8">
        <f t="shared" ref="AB9:AC9" si="27">ROUNDUP(V9/1000,0)</f>
        <v>1</v>
      </c>
      <c r="AC9" s="8">
        <f t="shared" si="27"/>
        <v>0</v>
      </c>
      <c r="AD9" s="8">
        <f t="shared" si="14"/>
        <v>100</v>
      </c>
      <c r="AE9" s="8">
        <f t="shared" si="15"/>
        <v>1</v>
      </c>
    </row>
    <row r="10" ht="22.5" customHeight="1">
      <c r="A10" s="7" t="s">
        <v>45</v>
      </c>
      <c r="B10" s="7" t="s">
        <v>36</v>
      </c>
      <c r="C10" s="7">
        <f t="shared" si="3"/>
        <v>0</v>
      </c>
      <c r="D10" s="7">
        <v>11.24600029</v>
      </c>
      <c r="E10" s="7">
        <v>0.0</v>
      </c>
      <c r="F10" s="7">
        <v>99.14328736</v>
      </c>
      <c r="G10" s="7">
        <v>0.0</v>
      </c>
      <c r="H10" s="7">
        <v>0.856712639</v>
      </c>
      <c r="I10" s="7">
        <v>0.0</v>
      </c>
      <c r="J10" s="7">
        <v>99.14328736</v>
      </c>
      <c r="K10" s="7">
        <v>0.0</v>
      </c>
      <c r="L10" s="7">
        <v>0.856712639</v>
      </c>
      <c r="M10" s="7">
        <v>0.0</v>
      </c>
      <c r="N10" s="7" t="s">
        <v>36</v>
      </c>
      <c r="O10" s="7" t="s">
        <v>36</v>
      </c>
      <c r="P10" s="7" t="s">
        <v>36</v>
      </c>
      <c r="Q10" s="7" t="s">
        <v>36</v>
      </c>
      <c r="R10" s="8">
        <f t="shared" si="4"/>
        <v>17</v>
      </c>
      <c r="S10" s="8">
        <f t="shared" si="5"/>
        <v>11246.00029</v>
      </c>
      <c r="T10" s="8">
        <f t="shared" si="6"/>
        <v>0</v>
      </c>
      <c r="U10" s="8">
        <f t="shared" si="7"/>
        <v>11246.00029</v>
      </c>
      <c r="V10" s="8">
        <f t="shared" ref="V10:W10" si="28">T10/1000</f>
        <v>0</v>
      </c>
      <c r="W10" s="8">
        <f t="shared" si="28"/>
        <v>11.24600029</v>
      </c>
      <c r="X10" s="8">
        <f t="shared" si="9"/>
        <v>100</v>
      </c>
      <c r="Y10" s="8">
        <f t="shared" si="10"/>
        <v>0</v>
      </c>
      <c r="Z10" s="8">
        <f t="shared" si="11"/>
        <v>100</v>
      </c>
      <c r="AA10" s="8">
        <f t="shared" si="12"/>
        <v>1</v>
      </c>
      <c r="AB10" s="8">
        <f t="shared" ref="AB10:AC10" si="29">ROUNDUP(V10/1000,0)</f>
        <v>0</v>
      </c>
      <c r="AC10" s="8">
        <f t="shared" si="29"/>
        <v>1</v>
      </c>
      <c r="AD10" s="8">
        <f t="shared" si="14"/>
        <v>99</v>
      </c>
      <c r="AE10" s="8">
        <f t="shared" si="15"/>
        <v>0</v>
      </c>
    </row>
    <row r="11" ht="22.5" customHeight="1">
      <c r="A11" s="7" t="s">
        <v>46</v>
      </c>
      <c r="B11" s="7" t="s">
        <v>47</v>
      </c>
      <c r="C11" s="7">
        <f t="shared" si="3"/>
        <v>3</v>
      </c>
      <c r="D11" s="7">
        <v>11.79199982</v>
      </c>
      <c r="E11" s="7">
        <v>64.01399994</v>
      </c>
      <c r="F11" s="7">
        <v>100.0</v>
      </c>
      <c r="G11" s="7">
        <v>0.0</v>
      </c>
      <c r="H11" s="7">
        <v>0.0</v>
      </c>
      <c r="I11" s="7">
        <v>0.0</v>
      </c>
      <c r="J11" s="7">
        <v>100.0</v>
      </c>
      <c r="K11" s="7">
        <v>0.0</v>
      </c>
      <c r="L11" s="7">
        <v>0.0</v>
      </c>
      <c r="M11" s="7">
        <v>0.0</v>
      </c>
      <c r="N11" s="7">
        <v>100.0</v>
      </c>
      <c r="O11" s="7">
        <v>0.0</v>
      </c>
      <c r="P11" s="7">
        <v>0.0</v>
      </c>
      <c r="Q11" s="7">
        <v>0.0</v>
      </c>
      <c r="R11" s="8">
        <f t="shared" si="4"/>
        <v>17</v>
      </c>
      <c r="S11" s="8">
        <f t="shared" si="5"/>
        <v>11791.99982</v>
      </c>
      <c r="T11" s="8">
        <f t="shared" si="6"/>
        <v>7548.530758</v>
      </c>
      <c r="U11" s="8">
        <f t="shared" si="7"/>
        <v>4243.469062</v>
      </c>
      <c r="V11" s="8">
        <f t="shared" ref="V11:W11" si="30">T11/1000</f>
        <v>7.548530758</v>
      </c>
      <c r="W11" s="8">
        <f t="shared" si="30"/>
        <v>4.243469062</v>
      </c>
      <c r="X11" s="8">
        <f t="shared" si="9"/>
        <v>35.98600006</v>
      </c>
      <c r="Y11" s="8">
        <f t="shared" si="10"/>
        <v>65</v>
      </c>
      <c r="Z11" s="8">
        <f t="shared" si="11"/>
        <v>36</v>
      </c>
      <c r="AA11" s="8">
        <f t="shared" si="12"/>
        <v>1</v>
      </c>
      <c r="AB11" s="8">
        <f t="shared" ref="AB11:AC11" si="31">ROUNDUP(V11/1000,0)</f>
        <v>1</v>
      </c>
      <c r="AC11" s="8">
        <f t="shared" si="31"/>
        <v>1</v>
      </c>
      <c r="AD11" s="8">
        <f t="shared" si="14"/>
        <v>100</v>
      </c>
      <c r="AE11" s="8">
        <f t="shared" si="15"/>
        <v>1</v>
      </c>
    </row>
    <row r="12" ht="22.5" customHeight="1">
      <c r="A12" s="7" t="s">
        <v>48</v>
      </c>
      <c r="B12" s="7" t="s">
        <v>36</v>
      </c>
      <c r="C12" s="7">
        <f t="shared" si="3"/>
        <v>0</v>
      </c>
      <c r="D12" s="7">
        <v>17.56399918</v>
      </c>
      <c r="E12" s="7">
        <v>75.49500275</v>
      </c>
      <c r="F12" s="7">
        <v>99.97161022</v>
      </c>
      <c r="G12" s="7">
        <v>0.0</v>
      </c>
      <c r="H12" s="7">
        <v>0.0283897827</v>
      </c>
      <c r="I12" s="7">
        <v>0.0</v>
      </c>
      <c r="J12" s="7" t="s">
        <v>36</v>
      </c>
      <c r="K12" s="7" t="s">
        <v>36</v>
      </c>
      <c r="L12" s="7" t="s">
        <v>36</v>
      </c>
      <c r="M12" s="7" t="s">
        <v>36</v>
      </c>
      <c r="N12" s="7" t="s">
        <v>36</v>
      </c>
      <c r="O12" s="7" t="s">
        <v>36</v>
      </c>
      <c r="P12" s="7" t="s">
        <v>36</v>
      </c>
      <c r="Q12" s="7" t="s">
        <v>36</v>
      </c>
      <c r="R12" s="8">
        <f t="shared" si="4"/>
        <v>17</v>
      </c>
      <c r="S12" s="8">
        <f t="shared" si="5"/>
        <v>17563.99918</v>
      </c>
      <c r="T12" s="8">
        <f t="shared" si="6"/>
        <v>13259.94166</v>
      </c>
      <c r="U12" s="8">
        <f t="shared" si="7"/>
        <v>4304.057516</v>
      </c>
      <c r="V12" s="8">
        <f t="shared" ref="V12:W12" si="32">T12/1000</f>
        <v>13.25994166</v>
      </c>
      <c r="W12" s="8">
        <f t="shared" si="32"/>
        <v>4.304057516</v>
      </c>
      <c r="X12" s="8">
        <f t="shared" si="9"/>
        <v>24.50499725</v>
      </c>
      <c r="Y12" s="8">
        <f t="shared" si="10"/>
        <v>76</v>
      </c>
      <c r="Z12" s="8">
        <f t="shared" si="11"/>
        <v>25</v>
      </c>
      <c r="AA12" s="8">
        <f t="shared" si="12"/>
        <v>1</v>
      </c>
      <c r="AB12" s="8">
        <f t="shared" ref="AB12:AC12" si="33">ROUNDUP(V12/1000,0)</f>
        <v>1</v>
      </c>
      <c r="AC12" s="8">
        <f t="shared" si="33"/>
        <v>1</v>
      </c>
      <c r="AD12" s="8">
        <f t="shared" si="14"/>
        <v>100</v>
      </c>
      <c r="AE12" s="8">
        <f t="shared" si="15"/>
        <v>1</v>
      </c>
    </row>
    <row r="13" ht="22.5" customHeight="1">
      <c r="A13" s="7" t="s">
        <v>49</v>
      </c>
      <c r="B13" s="7" t="s">
        <v>47</v>
      </c>
      <c r="C13" s="7">
        <f t="shared" si="3"/>
        <v>3</v>
      </c>
      <c r="D13" s="7">
        <v>18.09199905</v>
      </c>
      <c r="E13" s="7">
        <v>80.98799896</v>
      </c>
      <c r="F13" s="7">
        <v>99.6575455</v>
      </c>
      <c r="G13" s="7">
        <v>0.0</v>
      </c>
      <c r="H13" s="7">
        <v>0.3424544984</v>
      </c>
      <c r="I13" s="7">
        <v>0.0</v>
      </c>
      <c r="J13" s="7">
        <v>99.75698503</v>
      </c>
      <c r="K13" s="7">
        <v>0.0</v>
      </c>
      <c r="L13" s="7">
        <v>0.2430149677</v>
      </c>
      <c r="M13" s="7">
        <v>0.0</v>
      </c>
      <c r="N13" s="7">
        <v>99.63420199</v>
      </c>
      <c r="O13" s="7">
        <v>0.0</v>
      </c>
      <c r="P13" s="7">
        <v>0.3657980078</v>
      </c>
      <c r="Q13" s="7">
        <v>0.0</v>
      </c>
      <c r="R13" s="8">
        <f t="shared" si="4"/>
        <v>17</v>
      </c>
      <c r="S13" s="8">
        <f t="shared" si="5"/>
        <v>18091.99905</v>
      </c>
      <c r="T13" s="8">
        <f t="shared" si="6"/>
        <v>14652.348</v>
      </c>
      <c r="U13" s="8">
        <f t="shared" si="7"/>
        <v>3439.651048</v>
      </c>
      <c r="V13" s="8">
        <f t="shared" ref="V13:W13" si="34">T13/1000</f>
        <v>14.652348</v>
      </c>
      <c r="W13" s="8">
        <f t="shared" si="34"/>
        <v>3.439651048</v>
      </c>
      <c r="X13" s="8">
        <f t="shared" si="9"/>
        <v>19.01200104</v>
      </c>
      <c r="Y13" s="8">
        <f t="shared" si="10"/>
        <v>81</v>
      </c>
      <c r="Z13" s="8">
        <f t="shared" si="11"/>
        <v>20</v>
      </c>
      <c r="AA13" s="8">
        <f t="shared" si="12"/>
        <v>1</v>
      </c>
      <c r="AB13" s="8">
        <f t="shared" ref="AB13:AC13" si="35">ROUNDUP(V13/1000,0)</f>
        <v>1</v>
      </c>
      <c r="AC13" s="8">
        <f t="shared" si="35"/>
        <v>1</v>
      </c>
      <c r="AD13" s="8">
        <f t="shared" si="14"/>
        <v>100</v>
      </c>
      <c r="AE13" s="8">
        <f t="shared" si="15"/>
        <v>1</v>
      </c>
    </row>
    <row r="14" ht="22.5" customHeight="1">
      <c r="A14" s="7" t="s">
        <v>50</v>
      </c>
      <c r="B14" s="7" t="s">
        <v>44</v>
      </c>
      <c r="C14" s="7">
        <f t="shared" si="3"/>
        <v>4</v>
      </c>
      <c r="D14" s="7">
        <v>30.23699951</v>
      </c>
      <c r="E14" s="7">
        <v>48.51499939</v>
      </c>
      <c r="F14" s="7">
        <v>99.86438356</v>
      </c>
      <c r="G14" s="7">
        <v>0.0</v>
      </c>
      <c r="H14" s="7">
        <v>0.1356164384</v>
      </c>
      <c r="I14" s="7">
        <v>0.0</v>
      </c>
      <c r="J14" s="7" t="s">
        <v>36</v>
      </c>
      <c r="K14" s="7" t="s">
        <v>36</v>
      </c>
      <c r="L14" s="7" t="s">
        <v>36</v>
      </c>
      <c r="M14" s="7" t="s">
        <v>36</v>
      </c>
      <c r="N14" s="7" t="s">
        <v>36</v>
      </c>
      <c r="O14" s="7" t="s">
        <v>36</v>
      </c>
      <c r="P14" s="7" t="s">
        <v>36</v>
      </c>
      <c r="Q14" s="7" t="s">
        <v>36</v>
      </c>
      <c r="R14" s="8">
        <f t="shared" si="4"/>
        <v>17</v>
      </c>
      <c r="S14" s="8">
        <f t="shared" si="5"/>
        <v>30236.99951</v>
      </c>
      <c r="T14" s="8">
        <f t="shared" si="6"/>
        <v>14669.48013</v>
      </c>
      <c r="U14" s="8">
        <f t="shared" si="7"/>
        <v>15567.51938</v>
      </c>
      <c r="V14" s="8">
        <f t="shared" ref="V14:W14" si="36">T14/1000</f>
        <v>14.66948013</v>
      </c>
      <c r="W14" s="8">
        <f t="shared" si="36"/>
        <v>15.56751938</v>
      </c>
      <c r="X14" s="8">
        <f t="shared" si="9"/>
        <v>51.48500061</v>
      </c>
      <c r="Y14" s="8">
        <f t="shared" si="10"/>
        <v>49</v>
      </c>
      <c r="Z14" s="8">
        <f t="shared" si="11"/>
        <v>52</v>
      </c>
      <c r="AA14" s="8">
        <f t="shared" si="12"/>
        <v>1</v>
      </c>
      <c r="AB14" s="8">
        <f t="shared" ref="AB14:AC14" si="37">ROUNDUP(V14/1000,0)</f>
        <v>1</v>
      </c>
      <c r="AC14" s="8">
        <f t="shared" si="37"/>
        <v>1</v>
      </c>
      <c r="AD14" s="8">
        <f t="shared" si="14"/>
        <v>100</v>
      </c>
      <c r="AE14" s="8">
        <f t="shared" si="15"/>
        <v>1</v>
      </c>
    </row>
    <row r="15" ht="22.5" customHeight="1">
      <c r="A15" s="7" t="s">
        <v>51</v>
      </c>
      <c r="B15" s="7" t="s">
        <v>44</v>
      </c>
      <c r="C15" s="7">
        <f t="shared" si="3"/>
        <v>4</v>
      </c>
      <c r="D15" s="7">
        <v>33.69100189</v>
      </c>
      <c r="E15" s="7">
        <v>100.0</v>
      </c>
      <c r="F15" s="7">
        <v>100.0</v>
      </c>
      <c r="G15" s="7">
        <v>0.0</v>
      </c>
      <c r="H15" s="7">
        <v>0.0</v>
      </c>
      <c r="I15" s="7">
        <v>0.0</v>
      </c>
      <c r="J15" s="7" t="s">
        <v>36</v>
      </c>
      <c r="K15" s="7" t="s">
        <v>36</v>
      </c>
      <c r="L15" s="7" t="s">
        <v>36</v>
      </c>
      <c r="M15" s="7" t="s">
        <v>36</v>
      </c>
      <c r="N15" s="7">
        <v>100.0</v>
      </c>
      <c r="O15" s="7">
        <v>0.0</v>
      </c>
      <c r="P15" s="7">
        <v>0.0</v>
      </c>
      <c r="Q15" s="7">
        <v>0.0</v>
      </c>
      <c r="R15" s="8">
        <f t="shared" si="4"/>
        <v>17</v>
      </c>
      <c r="S15" s="8">
        <f t="shared" si="5"/>
        <v>33691.00189</v>
      </c>
      <c r="T15" s="8">
        <f t="shared" si="6"/>
        <v>33691.00189</v>
      </c>
      <c r="U15" s="8">
        <f t="shared" si="7"/>
        <v>0</v>
      </c>
      <c r="V15" s="8">
        <f t="shared" ref="V15:W15" si="38">T15/1000</f>
        <v>33.69100189</v>
      </c>
      <c r="W15" s="8">
        <f t="shared" si="38"/>
        <v>0</v>
      </c>
      <c r="X15" s="8">
        <f t="shared" si="9"/>
        <v>0</v>
      </c>
      <c r="Y15" s="8">
        <f t="shared" si="10"/>
        <v>100</v>
      </c>
      <c r="Z15" s="8">
        <f t="shared" si="11"/>
        <v>0</v>
      </c>
      <c r="AA15" s="8">
        <f t="shared" si="12"/>
        <v>1</v>
      </c>
      <c r="AB15" s="8">
        <f t="shared" ref="AB15:AC15" si="39">ROUNDUP(V15/1000,0)</f>
        <v>1</v>
      </c>
      <c r="AC15" s="8">
        <f t="shared" si="39"/>
        <v>0</v>
      </c>
      <c r="AD15" s="8">
        <f t="shared" si="14"/>
        <v>100</v>
      </c>
      <c r="AE15" s="8">
        <f t="shared" si="15"/>
        <v>1</v>
      </c>
    </row>
    <row r="16" ht="22.5" customHeight="1">
      <c r="A16" s="7" t="s">
        <v>52</v>
      </c>
      <c r="B16" s="7" t="s">
        <v>44</v>
      </c>
      <c r="C16" s="7">
        <f t="shared" si="3"/>
        <v>4</v>
      </c>
      <c r="D16" s="7">
        <v>33.93799973</v>
      </c>
      <c r="E16" s="7">
        <v>97.49900055</v>
      </c>
      <c r="F16" s="7">
        <v>100.0</v>
      </c>
      <c r="G16" s="7">
        <v>0.0</v>
      </c>
      <c r="H16" s="7">
        <v>0.0</v>
      </c>
      <c r="I16" s="7">
        <v>0.0</v>
      </c>
      <c r="J16" s="7" t="s">
        <v>36</v>
      </c>
      <c r="K16" s="7" t="s">
        <v>36</v>
      </c>
      <c r="L16" s="7" t="s">
        <v>36</v>
      </c>
      <c r="M16" s="7" t="s">
        <v>36</v>
      </c>
      <c r="N16" s="7" t="s">
        <v>36</v>
      </c>
      <c r="O16" s="7" t="s">
        <v>36</v>
      </c>
      <c r="P16" s="7" t="s">
        <v>36</v>
      </c>
      <c r="Q16" s="7" t="s">
        <v>36</v>
      </c>
      <c r="R16" s="8">
        <f t="shared" si="4"/>
        <v>17</v>
      </c>
      <c r="S16" s="8">
        <f t="shared" si="5"/>
        <v>33937.99973</v>
      </c>
      <c r="T16" s="8">
        <f t="shared" si="6"/>
        <v>33089.21054</v>
      </c>
      <c r="U16" s="8">
        <f t="shared" si="7"/>
        <v>848.7891866</v>
      </c>
      <c r="V16" s="8">
        <f t="shared" ref="V16:W16" si="40">T16/1000</f>
        <v>33.08921054</v>
      </c>
      <c r="W16" s="8">
        <f t="shared" si="40"/>
        <v>0.8487891866</v>
      </c>
      <c r="X16" s="8">
        <f t="shared" si="9"/>
        <v>2.50099945</v>
      </c>
      <c r="Y16" s="8">
        <f t="shared" si="10"/>
        <v>98</v>
      </c>
      <c r="Z16" s="8">
        <f t="shared" si="11"/>
        <v>3</v>
      </c>
      <c r="AA16" s="8">
        <f t="shared" si="12"/>
        <v>1</v>
      </c>
      <c r="AB16" s="8">
        <f t="shared" ref="AB16:AC16" si="41">ROUNDUP(V16/1000,0)</f>
        <v>1</v>
      </c>
      <c r="AC16" s="8">
        <f t="shared" si="41"/>
        <v>1</v>
      </c>
      <c r="AD16" s="8">
        <f t="shared" si="14"/>
        <v>100</v>
      </c>
      <c r="AE16" s="8">
        <f t="shared" si="15"/>
        <v>1</v>
      </c>
    </row>
    <row r="17" ht="22.5" customHeight="1">
      <c r="A17" s="7" t="s">
        <v>53</v>
      </c>
      <c r="B17" s="7" t="s">
        <v>44</v>
      </c>
      <c r="C17" s="7">
        <f t="shared" si="3"/>
        <v>4</v>
      </c>
      <c r="D17" s="7">
        <v>38.13700104</v>
      </c>
      <c r="E17" s="7">
        <v>14.41600037</v>
      </c>
      <c r="F17" s="7">
        <v>100.0</v>
      </c>
      <c r="G17" s="7">
        <v>0.0</v>
      </c>
      <c r="H17" s="7">
        <v>0.0</v>
      </c>
      <c r="I17" s="7">
        <v>0.0</v>
      </c>
      <c r="J17" s="7" t="s">
        <v>36</v>
      </c>
      <c r="K17" s="7" t="s">
        <v>36</v>
      </c>
      <c r="L17" s="7" t="s">
        <v>36</v>
      </c>
      <c r="M17" s="7" t="s">
        <v>36</v>
      </c>
      <c r="N17" s="7" t="s">
        <v>36</v>
      </c>
      <c r="O17" s="7" t="s">
        <v>36</v>
      </c>
      <c r="P17" s="7" t="s">
        <v>36</v>
      </c>
      <c r="Q17" s="7" t="s">
        <v>36</v>
      </c>
      <c r="R17" s="8">
        <f t="shared" si="4"/>
        <v>17</v>
      </c>
      <c r="S17" s="8">
        <f t="shared" si="5"/>
        <v>38137.00104</v>
      </c>
      <c r="T17" s="8">
        <f t="shared" si="6"/>
        <v>5497.830211</v>
      </c>
      <c r="U17" s="8">
        <f t="shared" si="7"/>
        <v>32639.17083</v>
      </c>
      <c r="V17" s="8">
        <f t="shared" ref="V17:W17" si="42">T17/1000</f>
        <v>5.497830211</v>
      </c>
      <c r="W17" s="8">
        <f t="shared" si="42"/>
        <v>32.63917083</v>
      </c>
      <c r="X17" s="8">
        <f t="shared" si="9"/>
        <v>85.58399963</v>
      </c>
      <c r="Y17" s="8">
        <f t="shared" si="10"/>
        <v>15</v>
      </c>
      <c r="Z17" s="8">
        <f t="shared" si="11"/>
        <v>86</v>
      </c>
      <c r="AA17" s="8">
        <f t="shared" si="12"/>
        <v>1</v>
      </c>
      <c r="AB17" s="8">
        <f t="shared" ref="AB17:AC17" si="43">ROUNDUP(V17/1000,0)</f>
        <v>1</v>
      </c>
      <c r="AC17" s="8">
        <f t="shared" si="43"/>
        <v>1</v>
      </c>
      <c r="AD17" s="8">
        <f t="shared" si="14"/>
        <v>100</v>
      </c>
      <c r="AE17" s="8">
        <f t="shared" si="15"/>
        <v>1</v>
      </c>
    </row>
    <row r="18" ht="22.5" customHeight="1">
      <c r="A18" s="7" t="s">
        <v>54</v>
      </c>
      <c r="B18" s="7" t="s">
        <v>44</v>
      </c>
      <c r="C18" s="7">
        <f t="shared" si="3"/>
        <v>4</v>
      </c>
      <c r="D18" s="7">
        <v>38.659</v>
      </c>
      <c r="E18" s="7">
        <v>100.0</v>
      </c>
      <c r="F18" s="7">
        <v>99.99927139</v>
      </c>
      <c r="G18" s="7">
        <v>0.0</v>
      </c>
      <c r="H18" s="7">
        <v>7.286105507E-4</v>
      </c>
      <c r="I18" s="7">
        <v>0.0</v>
      </c>
      <c r="J18" s="7" t="s">
        <v>36</v>
      </c>
      <c r="K18" s="7" t="s">
        <v>36</v>
      </c>
      <c r="L18" s="7" t="s">
        <v>36</v>
      </c>
      <c r="M18" s="7" t="s">
        <v>36</v>
      </c>
      <c r="N18" s="7">
        <v>99.99927139</v>
      </c>
      <c r="O18" s="7">
        <v>0.0</v>
      </c>
      <c r="P18" s="7">
        <v>7.286105507E-4</v>
      </c>
      <c r="Q18" s="7">
        <v>0.0</v>
      </c>
      <c r="R18" s="8">
        <f t="shared" si="4"/>
        <v>17</v>
      </c>
      <c r="S18" s="8">
        <f t="shared" si="5"/>
        <v>38659</v>
      </c>
      <c r="T18" s="8">
        <f t="shared" si="6"/>
        <v>38659</v>
      </c>
      <c r="U18" s="8">
        <f t="shared" si="7"/>
        <v>0</v>
      </c>
      <c r="V18" s="8">
        <f t="shared" ref="V18:W18" si="44">T18/1000</f>
        <v>38.659</v>
      </c>
      <c r="W18" s="8">
        <f t="shared" si="44"/>
        <v>0</v>
      </c>
      <c r="X18" s="8">
        <f t="shared" si="9"/>
        <v>0</v>
      </c>
      <c r="Y18" s="8">
        <f t="shared" si="10"/>
        <v>100</v>
      </c>
      <c r="Z18" s="8">
        <f t="shared" si="11"/>
        <v>0</v>
      </c>
      <c r="AA18" s="8">
        <f t="shared" si="12"/>
        <v>1</v>
      </c>
      <c r="AB18" s="8">
        <f t="shared" ref="AB18:AC18" si="45">ROUNDUP(V18/1000,0)</f>
        <v>1</v>
      </c>
      <c r="AC18" s="8">
        <f t="shared" si="45"/>
        <v>0</v>
      </c>
      <c r="AD18" s="8">
        <f t="shared" si="14"/>
        <v>100</v>
      </c>
      <c r="AE18" s="8">
        <f t="shared" si="15"/>
        <v>1</v>
      </c>
    </row>
    <row r="19" ht="22.5" customHeight="1">
      <c r="A19" s="7" t="s">
        <v>55</v>
      </c>
      <c r="B19" s="7" t="s">
        <v>44</v>
      </c>
      <c r="C19" s="7">
        <f t="shared" si="3"/>
        <v>4</v>
      </c>
      <c r="D19" s="7">
        <v>39.24399948</v>
      </c>
      <c r="E19" s="7">
        <v>100.0</v>
      </c>
      <c r="F19" s="7">
        <v>100.0</v>
      </c>
      <c r="G19" s="7">
        <v>0.0</v>
      </c>
      <c r="H19" s="7">
        <v>0.0</v>
      </c>
      <c r="I19" s="7">
        <v>0.0</v>
      </c>
      <c r="J19" s="7" t="s">
        <v>36</v>
      </c>
      <c r="K19" s="7" t="s">
        <v>36</v>
      </c>
      <c r="L19" s="7" t="s">
        <v>36</v>
      </c>
      <c r="M19" s="7" t="s">
        <v>36</v>
      </c>
      <c r="N19" s="7">
        <v>100.0</v>
      </c>
      <c r="O19" s="7">
        <v>0.0</v>
      </c>
      <c r="P19" s="7">
        <v>0.0</v>
      </c>
      <c r="Q19" s="7">
        <v>0.0</v>
      </c>
      <c r="R19" s="8">
        <f t="shared" si="4"/>
        <v>17</v>
      </c>
      <c r="S19" s="8">
        <f t="shared" si="5"/>
        <v>39243.99948</v>
      </c>
      <c r="T19" s="8">
        <f t="shared" si="6"/>
        <v>39243.99948</v>
      </c>
      <c r="U19" s="8">
        <f t="shared" si="7"/>
        <v>0</v>
      </c>
      <c r="V19" s="8">
        <f t="shared" ref="V19:W19" si="46">T19/1000</f>
        <v>39.24399948</v>
      </c>
      <c r="W19" s="8">
        <f t="shared" si="46"/>
        <v>0</v>
      </c>
      <c r="X19" s="8">
        <f t="shared" si="9"/>
        <v>0</v>
      </c>
      <c r="Y19" s="8">
        <f t="shared" si="10"/>
        <v>100</v>
      </c>
      <c r="Z19" s="8">
        <f t="shared" si="11"/>
        <v>0</v>
      </c>
      <c r="AA19" s="8">
        <f t="shared" si="12"/>
        <v>1</v>
      </c>
      <c r="AB19" s="8">
        <f t="shared" ref="AB19:AC19" si="47">ROUNDUP(V19/1000,0)</f>
        <v>1</v>
      </c>
      <c r="AC19" s="8">
        <f t="shared" si="47"/>
        <v>0</v>
      </c>
      <c r="AD19" s="8">
        <f t="shared" si="14"/>
        <v>100</v>
      </c>
      <c r="AE19" s="8">
        <f t="shared" si="15"/>
        <v>1</v>
      </c>
    </row>
    <row r="20" ht="22.5" customHeight="1">
      <c r="A20" s="7" t="s">
        <v>56</v>
      </c>
      <c r="B20" s="7" t="s">
        <v>44</v>
      </c>
      <c r="C20" s="7">
        <f t="shared" si="3"/>
        <v>4</v>
      </c>
      <c r="D20" s="7">
        <v>48.86500168</v>
      </c>
      <c r="E20" s="7">
        <v>42.39799881</v>
      </c>
      <c r="F20" s="7">
        <v>100.0</v>
      </c>
      <c r="G20" s="7">
        <v>0.0</v>
      </c>
      <c r="H20" s="7">
        <v>0.0</v>
      </c>
      <c r="I20" s="7">
        <v>0.0</v>
      </c>
      <c r="J20" s="7" t="s">
        <v>36</v>
      </c>
      <c r="K20" s="7" t="s">
        <v>36</v>
      </c>
      <c r="L20" s="7" t="s">
        <v>36</v>
      </c>
      <c r="M20" s="7" t="s">
        <v>36</v>
      </c>
      <c r="N20" s="7" t="s">
        <v>36</v>
      </c>
      <c r="O20" s="7" t="s">
        <v>36</v>
      </c>
      <c r="P20" s="7" t="s">
        <v>36</v>
      </c>
      <c r="Q20" s="7" t="s">
        <v>36</v>
      </c>
      <c r="R20" s="8">
        <f t="shared" si="4"/>
        <v>17</v>
      </c>
      <c r="S20" s="8">
        <f t="shared" si="5"/>
        <v>48865.00168</v>
      </c>
      <c r="T20" s="8">
        <f t="shared" si="6"/>
        <v>20717.78283</v>
      </c>
      <c r="U20" s="8">
        <f t="shared" si="7"/>
        <v>28147.21885</v>
      </c>
      <c r="V20" s="8">
        <f t="shared" ref="V20:W20" si="48">T20/1000</f>
        <v>20.71778283</v>
      </c>
      <c r="W20" s="8">
        <f t="shared" si="48"/>
        <v>28.14721885</v>
      </c>
      <c r="X20" s="8">
        <f t="shared" si="9"/>
        <v>57.60200119</v>
      </c>
      <c r="Y20" s="8">
        <f t="shared" si="10"/>
        <v>43</v>
      </c>
      <c r="Z20" s="8">
        <f t="shared" si="11"/>
        <v>58</v>
      </c>
      <c r="AA20" s="8">
        <f t="shared" si="12"/>
        <v>1</v>
      </c>
      <c r="AB20" s="8">
        <f t="shared" ref="AB20:AC20" si="49">ROUNDUP(V20/1000,0)</f>
        <v>1</v>
      </c>
      <c r="AC20" s="8">
        <f t="shared" si="49"/>
        <v>1</v>
      </c>
      <c r="AD20" s="8">
        <f t="shared" si="14"/>
        <v>100</v>
      </c>
      <c r="AE20" s="8">
        <f t="shared" si="15"/>
        <v>1</v>
      </c>
    </row>
    <row r="21" ht="22.5" customHeight="1">
      <c r="A21" s="7" t="s">
        <v>57</v>
      </c>
      <c r="B21" s="7" t="s">
        <v>47</v>
      </c>
      <c r="C21" s="7">
        <f t="shared" si="3"/>
        <v>3</v>
      </c>
      <c r="D21" s="7">
        <v>55.1969986</v>
      </c>
      <c r="E21" s="7">
        <v>87.15299988</v>
      </c>
      <c r="F21" s="7">
        <v>99.77377166</v>
      </c>
      <c r="G21" s="7">
        <v>0.0</v>
      </c>
      <c r="H21" s="7">
        <v>0.2262283415</v>
      </c>
      <c r="I21" s="7">
        <v>0.0</v>
      </c>
      <c r="J21" s="7" t="s">
        <v>36</v>
      </c>
      <c r="K21" s="7" t="s">
        <v>36</v>
      </c>
      <c r="L21" s="7" t="s">
        <v>36</v>
      </c>
      <c r="M21" s="7" t="s">
        <v>36</v>
      </c>
      <c r="N21" s="7" t="s">
        <v>36</v>
      </c>
      <c r="O21" s="7" t="s">
        <v>36</v>
      </c>
      <c r="P21" s="7" t="s">
        <v>36</v>
      </c>
      <c r="Q21" s="7" t="s">
        <v>36</v>
      </c>
      <c r="R21" s="8">
        <f t="shared" si="4"/>
        <v>17</v>
      </c>
      <c r="S21" s="8">
        <f t="shared" si="5"/>
        <v>55196.9986</v>
      </c>
      <c r="T21" s="8">
        <f t="shared" si="6"/>
        <v>48105.84012</v>
      </c>
      <c r="U21" s="8">
        <f t="shared" si="7"/>
        <v>7091.158476</v>
      </c>
      <c r="V21" s="8">
        <f t="shared" ref="V21:W21" si="50">T21/1000</f>
        <v>48.10584012</v>
      </c>
      <c r="W21" s="8">
        <f t="shared" si="50"/>
        <v>7.091158476</v>
      </c>
      <c r="X21" s="8">
        <f t="shared" si="9"/>
        <v>12.84700012</v>
      </c>
      <c r="Y21" s="8">
        <f t="shared" si="10"/>
        <v>88</v>
      </c>
      <c r="Z21" s="8">
        <f t="shared" si="11"/>
        <v>13</v>
      </c>
      <c r="AA21" s="8">
        <f t="shared" si="12"/>
        <v>1</v>
      </c>
      <c r="AB21" s="8">
        <f t="shared" ref="AB21:AC21" si="51">ROUNDUP(V21/1000,0)</f>
        <v>1</v>
      </c>
      <c r="AC21" s="8">
        <f t="shared" si="51"/>
        <v>1</v>
      </c>
      <c r="AD21" s="8">
        <f t="shared" si="14"/>
        <v>100</v>
      </c>
      <c r="AE21" s="8">
        <f t="shared" si="15"/>
        <v>1</v>
      </c>
    </row>
    <row r="22" ht="22.5" customHeight="1">
      <c r="A22" s="7" t="s">
        <v>58</v>
      </c>
      <c r="B22" s="7" t="s">
        <v>44</v>
      </c>
      <c r="C22" s="7">
        <f t="shared" si="3"/>
        <v>4</v>
      </c>
      <c r="D22" s="7">
        <v>56.77199936</v>
      </c>
      <c r="E22" s="7">
        <v>87.28200531</v>
      </c>
      <c r="F22" s="7">
        <v>100.0000017</v>
      </c>
      <c r="G22" s="7">
        <v>0.0</v>
      </c>
      <c r="H22" s="7">
        <v>0.0</v>
      </c>
      <c r="I22" s="7">
        <v>0.0</v>
      </c>
      <c r="J22" s="7">
        <v>100.0</v>
      </c>
      <c r="K22" s="7">
        <v>0.0</v>
      </c>
      <c r="L22" s="7">
        <v>0.0</v>
      </c>
      <c r="M22" s="7">
        <v>0.0</v>
      </c>
      <c r="N22" s="7">
        <v>100.0</v>
      </c>
      <c r="O22" s="7">
        <v>0.0</v>
      </c>
      <c r="P22" s="7">
        <v>0.0</v>
      </c>
      <c r="Q22" s="7">
        <v>0.0</v>
      </c>
      <c r="R22" s="8">
        <f t="shared" si="4"/>
        <v>17</v>
      </c>
      <c r="S22" s="8">
        <f t="shared" si="5"/>
        <v>56771.99936</v>
      </c>
      <c r="T22" s="8">
        <f t="shared" si="6"/>
        <v>49551.7395</v>
      </c>
      <c r="U22" s="8">
        <f t="shared" si="7"/>
        <v>7220.259864</v>
      </c>
      <c r="V22" s="8">
        <f t="shared" ref="V22:W22" si="52">T22/1000</f>
        <v>49.5517395</v>
      </c>
      <c r="W22" s="8">
        <f t="shared" si="52"/>
        <v>7.220259864</v>
      </c>
      <c r="X22" s="8">
        <f t="shared" si="9"/>
        <v>12.71799469</v>
      </c>
      <c r="Y22" s="8">
        <f t="shared" si="10"/>
        <v>88</v>
      </c>
      <c r="Z22" s="8">
        <f t="shared" si="11"/>
        <v>13</v>
      </c>
      <c r="AA22" s="8">
        <f t="shared" si="12"/>
        <v>1</v>
      </c>
      <c r="AB22" s="8">
        <f t="shared" ref="AB22:AC22" si="53">ROUNDUP(V22/1000,0)</f>
        <v>1</v>
      </c>
      <c r="AC22" s="8">
        <f t="shared" si="53"/>
        <v>1</v>
      </c>
      <c r="AD22" s="8">
        <f t="shared" si="14"/>
        <v>100</v>
      </c>
      <c r="AE22" s="8">
        <f t="shared" si="15"/>
        <v>1</v>
      </c>
    </row>
    <row r="23" ht="22.5" customHeight="1">
      <c r="A23" s="7" t="s">
        <v>59</v>
      </c>
      <c r="B23" s="7" t="s">
        <v>44</v>
      </c>
      <c r="C23" s="7">
        <f t="shared" si="3"/>
        <v>4</v>
      </c>
      <c r="D23" s="7">
        <v>57.55699921</v>
      </c>
      <c r="E23" s="7">
        <v>91.79799652</v>
      </c>
      <c r="F23" s="7">
        <v>100.0</v>
      </c>
      <c r="G23" s="7">
        <v>0.0</v>
      </c>
      <c r="H23" s="7">
        <v>0.0</v>
      </c>
      <c r="I23" s="7">
        <v>0.0</v>
      </c>
      <c r="J23" s="7" t="s">
        <v>36</v>
      </c>
      <c r="K23" s="7" t="s">
        <v>36</v>
      </c>
      <c r="L23" s="7" t="s">
        <v>36</v>
      </c>
      <c r="M23" s="7" t="s">
        <v>36</v>
      </c>
      <c r="N23" s="7" t="s">
        <v>36</v>
      </c>
      <c r="O23" s="7" t="s">
        <v>36</v>
      </c>
      <c r="P23" s="7" t="s">
        <v>36</v>
      </c>
      <c r="Q23" s="7" t="s">
        <v>36</v>
      </c>
      <c r="R23" s="8">
        <f t="shared" si="4"/>
        <v>17</v>
      </c>
      <c r="S23" s="8">
        <f t="shared" si="5"/>
        <v>57556.99921</v>
      </c>
      <c r="T23" s="8">
        <f t="shared" si="6"/>
        <v>52836.17213</v>
      </c>
      <c r="U23" s="8">
        <f t="shared" si="7"/>
        <v>4720.827078</v>
      </c>
      <c r="V23" s="8">
        <f t="shared" ref="V23:W23" si="54">T23/1000</f>
        <v>52.83617213</v>
      </c>
      <c r="W23" s="8">
        <f t="shared" si="54"/>
        <v>4.720827078</v>
      </c>
      <c r="X23" s="8">
        <f t="shared" si="9"/>
        <v>8.20200348</v>
      </c>
      <c r="Y23" s="8">
        <f t="shared" si="10"/>
        <v>92</v>
      </c>
      <c r="Z23" s="8">
        <f t="shared" si="11"/>
        <v>9</v>
      </c>
      <c r="AA23" s="8">
        <f t="shared" si="12"/>
        <v>1</v>
      </c>
      <c r="AB23" s="8">
        <f t="shared" ref="AB23:AC23" si="55">ROUNDUP(V23/1000,0)</f>
        <v>1</v>
      </c>
      <c r="AC23" s="8">
        <f t="shared" si="55"/>
        <v>1</v>
      </c>
      <c r="AD23" s="8">
        <f t="shared" si="14"/>
        <v>100</v>
      </c>
      <c r="AE23" s="8">
        <f t="shared" si="15"/>
        <v>1</v>
      </c>
    </row>
    <row r="24" ht="22.5" customHeight="1">
      <c r="A24" s="7" t="s">
        <v>60</v>
      </c>
      <c r="B24" s="7" t="s">
        <v>47</v>
      </c>
      <c r="C24" s="7">
        <f t="shared" si="3"/>
        <v>3</v>
      </c>
      <c r="D24" s="7">
        <v>59.19400024</v>
      </c>
      <c r="E24" s="7">
        <v>77.79399109</v>
      </c>
      <c r="F24" s="7">
        <v>88.57204698</v>
      </c>
      <c r="G24" s="7">
        <v>11.387979</v>
      </c>
      <c r="H24" s="7">
        <v>0.03997402585</v>
      </c>
      <c r="I24" s="7">
        <v>0.0</v>
      </c>
      <c r="J24" s="7">
        <v>94.42972</v>
      </c>
      <c r="K24" s="7">
        <v>5.39028</v>
      </c>
      <c r="L24" s="7">
        <v>0.18</v>
      </c>
      <c r="M24" s="7">
        <v>0.0</v>
      </c>
      <c r="N24" s="7">
        <v>86.9</v>
      </c>
      <c r="O24" s="7">
        <v>13.1</v>
      </c>
      <c r="P24" s="7">
        <v>0.0</v>
      </c>
      <c r="Q24" s="7">
        <v>0.0</v>
      </c>
      <c r="R24" s="8">
        <f t="shared" si="4"/>
        <v>17</v>
      </c>
      <c r="S24" s="8">
        <f>E24*1000</f>
        <v>77793.99109</v>
      </c>
      <c r="T24" s="8">
        <f>S24*F24/100</f>
        <v>68903.73034</v>
      </c>
      <c r="U24" s="8">
        <f t="shared" si="7"/>
        <v>17274.94059</v>
      </c>
      <c r="V24" s="8">
        <f t="shared" ref="V24:W24" si="56">T24/1000</f>
        <v>68.90373034</v>
      </c>
      <c r="W24" s="8">
        <f t="shared" si="56"/>
        <v>17.27494059</v>
      </c>
      <c r="X24" s="8">
        <f t="shared" si="9"/>
        <v>22.20600891</v>
      </c>
      <c r="Y24" s="8">
        <f t="shared" si="10"/>
        <v>78</v>
      </c>
      <c r="Z24" s="8">
        <f t="shared" si="11"/>
        <v>23</v>
      </c>
      <c r="AA24" s="8">
        <f t="shared" si="12"/>
        <v>1</v>
      </c>
      <c r="AB24" s="8">
        <f t="shared" ref="AB24:AC24" si="57">ROUNDUP(V24/1000,0)</f>
        <v>1</v>
      </c>
      <c r="AC24" s="8">
        <f t="shared" si="57"/>
        <v>1</v>
      </c>
      <c r="AD24" s="8">
        <f t="shared" si="14"/>
        <v>89</v>
      </c>
      <c r="AE24" s="8">
        <f t="shared" si="15"/>
        <v>1</v>
      </c>
    </row>
    <row r="25" ht="22.5" customHeight="1">
      <c r="A25" s="7" t="s">
        <v>61</v>
      </c>
      <c r="B25" s="7" t="s">
        <v>44</v>
      </c>
      <c r="C25" s="7">
        <f t="shared" si="3"/>
        <v>4</v>
      </c>
      <c r="D25" s="7">
        <v>62.27299881</v>
      </c>
      <c r="E25" s="7">
        <v>100.0</v>
      </c>
      <c r="F25" s="7">
        <v>99.90314002</v>
      </c>
      <c r="G25" s="7">
        <v>0.0</v>
      </c>
      <c r="H25" s="7">
        <v>0.09685998294</v>
      </c>
      <c r="I25" s="7">
        <v>0.0</v>
      </c>
      <c r="J25" s="7" t="s">
        <v>36</v>
      </c>
      <c r="K25" s="7" t="s">
        <v>36</v>
      </c>
      <c r="L25" s="7" t="s">
        <v>36</v>
      </c>
      <c r="M25" s="7" t="s">
        <v>36</v>
      </c>
      <c r="N25" s="7">
        <v>99.90314002</v>
      </c>
      <c r="O25" s="7">
        <v>0.0</v>
      </c>
      <c r="P25" s="7">
        <v>0.09685998294</v>
      </c>
      <c r="Q25" s="7">
        <v>0.0</v>
      </c>
      <c r="R25" s="8">
        <f t="shared" si="4"/>
        <v>17</v>
      </c>
      <c r="S25" s="8">
        <f t="shared" ref="S25:S214" si="60">D25*1000</f>
        <v>62272.99881</v>
      </c>
      <c r="T25" s="8">
        <f t="shared" ref="T25:T214" si="61">S25*E25/100</f>
        <v>62272.99881</v>
      </c>
      <c r="U25" s="8">
        <f t="shared" si="7"/>
        <v>0</v>
      </c>
      <c r="V25" s="8">
        <f t="shared" ref="V25:W25" si="58">T25/1000</f>
        <v>62.27299881</v>
      </c>
      <c r="W25" s="8">
        <f t="shared" si="58"/>
        <v>0</v>
      </c>
      <c r="X25" s="8">
        <f t="shared" si="9"/>
        <v>0</v>
      </c>
      <c r="Y25" s="8">
        <f t="shared" si="10"/>
        <v>100</v>
      </c>
      <c r="Z25" s="8">
        <f t="shared" si="11"/>
        <v>0</v>
      </c>
      <c r="AA25" s="8">
        <f t="shared" si="12"/>
        <v>1</v>
      </c>
      <c r="AB25" s="8">
        <f t="shared" ref="AB25:AC25" si="59">ROUNDUP(V25/1000,0)</f>
        <v>1</v>
      </c>
      <c r="AC25" s="8">
        <f t="shared" si="59"/>
        <v>0</v>
      </c>
      <c r="AD25" s="8">
        <f t="shared" si="14"/>
        <v>100</v>
      </c>
      <c r="AE25" s="8">
        <f t="shared" si="15"/>
        <v>1</v>
      </c>
    </row>
    <row r="26" ht="22.5" customHeight="1">
      <c r="A26" s="7" t="s">
        <v>62</v>
      </c>
      <c r="B26" s="7" t="s">
        <v>44</v>
      </c>
      <c r="C26" s="7">
        <f t="shared" si="3"/>
        <v>4</v>
      </c>
      <c r="D26" s="7">
        <v>77.26499939</v>
      </c>
      <c r="E26" s="7">
        <v>87.91600037</v>
      </c>
      <c r="F26" s="7">
        <v>100.0000037</v>
      </c>
      <c r="G26" s="7">
        <v>0.0</v>
      </c>
      <c r="H26" s="7">
        <v>0.0</v>
      </c>
      <c r="I26" s="7">
        <v>0.0</v>
      </c>
      <c r="J26" s="7">
        <v>100.0</v>
      </c>
      <c r="K26" s="7">
        <v>0.0</v>
      </c>
      <c r="L26" s="7">
        <v>0.0</v>
      </c>
      <c r="M26" s="7">
        <v>0.0</v>
      </c>
      <c r="N26" s="7">
        <v>100.0</v>
      </c>
      <c r="O26" s="7">
        <v>0.0</v>
      </c>
      <c r="P26" s="7">
        <v>0.0</v>
      </c>
      <c r="Q26" s="7">
        <v>0.0</v>
      </c>
      <c r="R26" s="8">
        <f t="shared" si="4"/>
        <v>17</v>
      </c>
      <c r="S26" s="8">
        <f t="shared" si="60"/>
        <v>77264.99939</v>
      </c>
      <c r="T26" s="8">
        <f t="shared" si="61"/>
        <v>67928.29715</v>
      </c>
      <c r="U26" s="8">
        <f t="shared" si="7"/>
        <v>9336.70224</v>
      </c>
      <c r="V26" s="8">
        <f t="shared" ref="V26:W26" si="62">T26/1000</f>
        <v>67.92829715</v>
      </c>
      <c r="W26" s="8">
        <f t="shared" si="62"/>
        <v>9.33670224</v>
      </c>
      <c r="X26" s="8">
        <f t="shared" si="9"/>
        <v>12.08399963</v>
      </c>
      <c r="Y26" s="8">
        <f t="shared" si="10"/>
        <v>88</v>
      </c>
      <c r="Z26" s="8">
        <f t="shared" si="11"/>
        <v>13</v>
      </c>
      <c r="AA26" s="8">
        <f t="shared" si="12"/>
        <v>1</v>
      </c>
      <c r="AB26" s="8">
        <f t="shared" ref="AB26:AC26" si="63">ROUNDUP(V26/1000,0)</f>
        <v>1</v>
      </c>
      <c r="AC26" s="8">
        <f t="shared" si="63"/>
        <v>1</v>
      </c>
      <c r="AD26" s="8">
        <f t="shared" si="14"/>
        <v>100</v>
      </c>
      <c r="AE26" s="8">
        <f t="shared" si="15"/>
        <v>1</v>
      </c>
    </row>
    <row r="27" ht="22.5" customHeight="1">
      <c r="A27" s="7" t="s">
        <v>63</v>
      </c>
      <c r="B27" s="7" t="s">
        <v>44</v>
      </c>
      <c r="C27" s="7">
        <f t="shared" si="3"/>
        <v>4</v>
      </c>
      <c r="D27" s="7">
        <v>85.03199768</v>
      </c>
      <c r="E27" s="7">
        <v>52.89800262</v>
      </c>
      <c r="F27" s="7">
        <v>99.075</v>
      </c>
      <c r="G27" s="7">
        <v>0.0</v>
      </c>
      <c r="H27" s="7">
        <v>0.925</v>
      </c>
      <c r="I27" s="7">
        <v>0.0</v>
      </c>
      <c r="J27" s="7" t="s">
        <v>36</v>
      </c>
      <c r="K27" s="7" t="s">
        <v>36</v>
      </c>
      <c r="L27" s="7" t="s">
        <v>36</v>
      </c>
      <c r="M27" s="7" t="s">
        <v>36</v>
      </c>
      <c r="N27" s="7" t="s">
        <v>36</v>
      </c>
      <c r="O27" s="7" t="s">
        <v>36</v>
      </c>
      <c r="P27" s="7" t="s">
        <v>36</v>
      </c>
      <c r="Q27" s="7" t="s">
        <v>36</v>
      </c>
      <c r="R27" s="8">
        <f t="shared" si="4"/>
        <v>17</v>
      </c>
      <c r="S27" s="8">
        <f t="shared" si="60"/>
        <v>85031.99768</v>
      </c>
      <c r="T27" s="8">
        <f t="shared" si="61"/>
        <v>44980.22836</v>
      </c>
      <c r="U27" s="8">
        <f t="shared" si="7"/>
        <v>40051.76932</v>
      </c>
      <c r="V27" s="8">
        <f t="shared" ref="V27:W27" si="64">T27/1000</f>
        <v>44.98022836</v>
      </c>
      <c r="W27" s="8">
        <f t="shared" si="64"/>
        <v>40.05176932</v>
      </c>
      <c r="X27" s="8">
        <f t="shared" si="9"/>
        <v>47.10199738</v>
      </c>
      <c r="Y27" s="8">
        <f t="shared" si="10"/>
        <v>53</v>
      </c>
      <c r="Z27" s="8">
        <f t="shared" si="11"/>
        <v>48</v>
      </c>
      <c r="AA27" s="8">
        <f t="shared" si="12"/>
        <v>1</v>
      </c>
      <c r="AB27" s="8">
        <f t="shared" ref="AB27:AC27" si="65">ROUNDUP(V27/1000,0)</f>
        <v>1</v>
      </c>
      <c r="AC27" s="8">
        <f t="shared" si="65"/>
        <v>1</v>
      </c>
      <c r="AD27" s="8">
        <f t="shared" si="14"/>
        <v>99</v>
      </c>
      <c r="AE27" s="8">
        <f t="shared" si="15"/>
        <v>1</v>
      </c>
    </row>
    <row r="28" ht="22.5" customHeight="1">
      <c r="A28" s="7" t="s">
        <v>64</v>
      </c>
      <c r="B28" s="7" t="s">
        <v>44</v>
      </c>
      <c r="C28" s="7">
        <f t="shared" si="3"/>
        <v>4</v>
      </c>
      <c r="D28" s="7">
        <v>104.4229965</v>
      </c>
      <c r="E28" s="7">
        <v>95.93900299</v>
      </c>
      <c r="F28" s="7">
        <v>98.71826738</v>
      </c>
      <c r="G28" s="7">
        <v>0.0</v>
      </c>
      <c r="H28" s="7">
        <v>1.281732624</v>
      </c>
      <c r="I28" s="7">
        <v>0.0</v>
      </c>
      <c r="J28" s="7" t="s">
        <v>36</v>
      </c>
      <c r="K28" s="7" t="s">
        <v>36</v>
      </c>
      <c r="L28" s="7" t="s">
        <v>36</v>
      </c>
      <c r="M28" s="7" t="s">
        <v>36</v>
      </c>
      <c r="N28" s="7" t="s">
        <v>36</v>
      </c>
      <c r="O28" s="7" t="s">
        <v>36</v>
      </c>
      <c r="P28" s="7" t="s">
        <v>36</v>
      </c>
      <c r="Q28" s="7" t="s">
        <v>36</v>
      </c>
      <c r="R28" s="8">
        <f t="shared" si="4"/>
        <v>17</v>
      </c>
      <c r="S28" s="8">
        <f t="shared" si="60"/>
        <v>104422.9965</v>
      </c>
      <c r="T28" s="8">
        <f t="shared" si="61"/>
        <v>100182.3817</v>
      </c>
      <c r="U28" s="8">
        <f t="shared" si="7"/>
        <v>4240.614766</v>
      </c>
      <c r="V28" s="8">
        <f t="shared" ref="V28:W28" si="66">T28/1000</f>
        <v>100.1823817</v>
      </c>
      <c r="W28" s="8">
        <f t="shared" si="66"/>
        <v>4.240614766</v>
      </c>
      <c r="X28" s="8">
        <f t="shared" si="9"/>
        <v>4.06099701</v>
      </c>
      <c r="Y28" s="8">
        <f t="shared" si="10"/>
        <v>96</v>
      </c>
      <c r="Z28" s="8">
        <f t="shared" si="11"/>
        <v>5</v>
      </c>
      <c r="AA28" s="8">
        <f t="shared" si="12"/>
        <v>1</v>
      </c>
      <c r="AB28" s="8">
        <f t="shared" ref="AB28:AC28" si="67">ROUNDUP(V28/1000,0)</f>
        <v>1</v>
      </c>
      <c r="AC28" s="8">
        <f t="shared" si="67"/>
        <v>1</v>
      </c>
      <c r="AD28" s="8">
        <f t="shared" si="14"/>
        <v>99</v>
      </c>
      <c r="AE28" s="8">
        <f t="shared" si="15"/>
        <v>1</v>
      </c>
    </row>
    <row r="29" ht="22.5" customHeight="1">
      <c r="A29" s="7" t="s">
        <v>65</v>
      </c>
      <c r="B29" s="7" t="s">
        <v>47</v>
      </c>
      <c r="C29" s="7">
        <f t="shared" si="3"/>
        <v>3</v>
      </c>
      <c r="D29" s="7">
        <v>105.6969986</v>
      </c>
      <c r="E29" s="7">
        <v>23.09899902</v>
      </c>
      <c r="F29" s="7">
        <v>98.73108083</v>
      </c>
      <c r="G29" s="7">
        <v>0.8814972962</v>
      </c>
      <c r="H29" s="7">
        <v>0.3874218777</v>
      </c>
      <c r="I29" s="7">
        <v>0.0</v>
      </c>
      <c r="J29" s="7">
        <v>98.46807854</v>
      </c>
      <c r="K29" s="7">
        <v>1.103159706</v>
      </c>
      <c r="L29" s="7">
        <v>0.4287617551</v>
      </c>
      <c r="M29" s="7">
        <v>0.0</v>
      </c>
      <c r="N29" s="7">
        <v>99.60665819</v>
      </c>
      <c r="O29" s="7">
        <v>0.143540536</v>
      </c>
      <c r="P29" s="7">
        <v>0.2498012758</v>
      </c>
      <c r="Q29" s="7">
        <v>0.0</v>
      </c>
      <c r="R29" s="8">
        <f t="shared" si="4"/>
        <v>17</v>
      </c>
      <c r="S29" s="8">
        <f t="shared" si="60"/>
        <v>105696.9986</v>
      </c>
      <c r="T29" s="8">
        <f t="shared" si="61"/>
        <v>24414.94867</v>
      </c>
      <c r="U29" s="8">
        <f t="shared" si="7"/>
        <v>81282.04993</v>
      </c>
      <c r="V29" s="8">
        <f t="shared" ref="V29:W29" si="68">T29/1000</f>
        <v>24.41494867</v>
      </c>
      <c r="W29" s="8">
        <f t="shared" si="68"/>
        <v>81.28204993</v>
      </c>
      <c r="X29" s="8">
        <f t="shared" si="9"/>
        <v>76.90100098</v>
      </c>
      <c r="Y29" s="8">
        <f t="shared" si="10"/>
        <v>24</v>
      </c>
      <c r="Z29" s="8">
        <f t="shared" si="11"/>
        <v>77</v>
      </c>
      <c r="AA29" s="8">
        <f t="shared" si="12"/>
        <v>1</v>
      </c>
      <c r="AB29" s="8">
        <f t="shared" ref="AB29:AC29" si="69">ROUNDUP(V29/1000,0)</f>
        <v>1</v>
      </c>
      <c r="AC29" s="8">
        <f t="shared" si="69"/>
        <v>1</v>
      </c>
      <c r="AD29" s="8">
        <f t="shared" si="14"/>
        <v>99</v>
      </c>
      <c r="AE29" s="8">
        <f t="shared" si="15"/>
        <v>1</v>
      </c>
    </row>
    <row r="30" ht="22.5" customHeight="1">
      <c r="A30" s="7" t="s">
        <v>66</v>
      </c>
      <c r="B30" s="7" t="s">
        <v>67</v>
      </c>
      <c r="C30" s="7">
        <f t="shared" si="3"/>
        <v>2</v>
      </c>
      <c r="D30" s="7">
        <v>119.4459991</v>
      </c>
      <c r="E30" s="7">
        <v>55.59399796</v>
      </c>
      <c r="F30" s="7">
        <v>77.97092085</v>
      </c>
      <c r="G30" s="7">
        <v>4.076899625</v>
      </c>
      <c r="H30" s="7">
        <v>17.95217953</v>
      </c>
      <c r="I30" s="7">
        <v>0.0</v>
      </c>
      <c r="J30" s="7">
        <v>60.99418489</v>
      </c>
      <c r="K30" s="7">
        <v>2.096609799</v>
      </c>
      <c r="L30" s="7">
        <v>36.90920532</v>
      </c>
      <c r="M30" s="7">
        <v>0.0</v>
      </c>
      <c r="N30" s="7">
        <v>91.53117485</v>
      </c>
      <c r="O30" s="7">
        <v>5.658666461</v>
      </c>
      <c r="P30" s="7">
        <v>2.810158691</v>
      </c>
      <c r="Q30" s="7">
        <v>0.0</v>
      </c>
      <c r="R30" s="8">
        <f t="shared" si="4"/>
        <v>17</v>
      </c>
      <c r="S30" s="8">
        <f t="shared" si="60"/>
        <v>119445.9991</v>
      </c>
      <c r="T30" s="8">
        <f t="shared" si="61"/>
        <v>66404.8063</v>
      </c>
      <c r="U30" s="8">
        <f t="shared" si="7"/>
        <v>53041.1928</v>
      </c>
      <c r="V30" s="8">
        <f t="shared" ref="V30:W30" si="70">T30/1000</f>
        <v>66.4048063</v>
      </c>
      <c r="W30" s="8">
        <f t="shared" si="70"/>
        <v>53.0411928</v>
      </c>
      <c r="X30" s="8">
        <f t="shared" si="9"/>
        <v>44.40600204</v>
      </c>
      <c r="Y30" s="8">
        <f t="shared" si="10"/>
        <v>56</v>
      </c>
      <c r="Z30" s="8">
        <f t="shared" si="11"/>
        <v>45</v>
      </c>
      <c r="AA30" s="8">
        <f t="shared" si="12"/>
        <v>1</v>
      </c>
      <c r="AB30" s="8">
        <f t="shared" ref="AB30:AC30" si="71">ROUNDUP(V30/1000,0)</f>
        <v>1</v>
      </c>
      <c r="AC30" s="8">
        <f t="shared" si="71"/>
        <v>1</v>
      </c>
      <c r="AD30" s="8">
        <f t="shared" si="14"/>
        <v>78</v>
      </c>
      <c r="AE30" s="8">
        <f t="shared" si="15"/>
        <v>1</v>
      </c>
    </row>
    <row r="31" ht="22.5" customHeight="1">
      <c r="A31" s="7" t="s">
        <v>68</v>
      </c>
      <c r="B31" s="7" t="s">
        <v>44</v>
      </c>
      <c r="C31" s="7">
        <f t="shared" si="3"/>
        <v>4</v>
      </c>
      <c r="D31" s="7">
        <v>168.7830048</v>
      </c>
      <c r="E31" s="7">
        <v>94.93800354</v>
      </c>
      <c r="F31" s="7">
        <v>99.6952</v>
      </c>
      <c r="G31" s="7">
        <v>0.0</v>
      </c>
      <c r="H31" s="7">
        <v>0.3048</v>
      </c>
      <c r="I31" s="7">
        <v>0.0</v>
      </c>
      <c r="J31" s="7" t="s">
        <v>36</v>
      </c>
      <c r="K31" s="7" t="s">
        <v>36</v>
      </c>
      <c r="L31" s="7" t="s">
        <v>36</v>
      </c>
      <c r="M31" s="7" t="s">
        <v>36</v>
      </c>
      <c r="N31" s="7" t="s">
        <v>36</v>
      </c>
      <c r="O31" s="7" t="s">
        <v>36</v>
      </c>
      <c r="P31" s="7" t="s">
        <v>36</v>
      </c>
      <c r="Q31" s="7" t="s">
        <v>36</v>
      </c>
      <c r="R31" s="8">
        <f t="shared" si="4"/>
        <v>17</v>
      </c>
      <c r="S31" s="8">
        <f t="shared" si="60"/>
        <v>168783.0048</v>
      </c>
      <c r="T31" s="8">
        <f t="shared" si="61"/>
        <v>160239.2151</v>
      </c>
      <c r="U31" s="8">
        <f t="shared" si="7"/>
        <v>8543.789728</v>
      </c>
      <c r="V31" s="8">
        <f t="shared" ref="V31:W31" si="72">T31/1000</f>
        <v>160.2392151</v>
      </c>
      <c r="W31" s="8">
        <f t="shared" si="72"/>
        <v>8.543789728</v>
      </c>
      <c r="X31" s="8">
        <f t="shared" si="9"/>
        <v>5.06199646</v>
      </c>
      <c r="Y31" s="8">
        <f t="shared" si="10"/>
        <v>95</v>
      </c>
      <c r="Z31" s="8">
        <f t="shared" si="11"/>
        <v>6</v>
      </c>
      <c r="AA31" s="8">
        <f t="shared" si="12"/>
        <v>1</v>
      </c>
      <c r="AB31" s="8">
        <f t="shared" ref="AB31:AC31" si="73">ROUNDUP(V31/1000,0)</f>
        <v>1</v>
      </c>
      <c r="AC31" s="8">
        <f t="shared" si="73"/>
        <v>1</v>
      </c>
      <c r="AD31" s="8">
        <f t="shared" si="14"/>
        <v>100</v>
      </c>
      <c r="AE31" s="8">
        <f t="shared" si="15"/>
        <v>1</v>
      </c>
    </row>
    <row r="32" ht="22.5" customHeight="1">
      <c r="A32" s="7" t="s">
        <v>69</v>
      </c>
      <c r="B32" s="7" t="s">
        <v>47</v>
      </c>
      <c r="C32" s="7">
        <f t="shared" si="3"/>
        <v>3</v>
      </c>
      <c r="D32" s="7">
        <v>183.6289978</v>
      </c>
      <c r="E32" s="7">
        <v>18.8409996</v>
      </c>
      <c r="F32" s="7">
        <v>96.88784457</v>
      </c>
      <c r="G32" s="7">
        <v>1.815652166</v>
      </c>
      <c r="H32" s="7">
        <v>1.296503269</v>
      </c>
      <c r="I32" s="7">
        <v>0.0</v>
      </c>
      <c r="J32" s="7">
        <v>96.81402383</v>
      </c>
      <c r="K32" s="7">
        <v>1.734152255</v>
      </c>
      <c r="L32" s="7">
        <v>1.451823918</v>
      </c>
      <c r="M32" s="7">
        <v>0.0</v>
      </c>
      <c r="N32" s="7">
        <v>97.20582219</v>
      </c>
      <c r="O32" s="7">
        <v>2.166718886</v>
      </c>
      <c r="P32" s="7">
        <v>0.6274589237</v>
      </c>
      <c r="Q32" s="7">
        <v>0.0</v>
      </c>
      <c r="R32" s="8">
        <f t="shared" si="4"/>
        <v>17</v>
      </c>
      <c r="S32" s="8">
        <f t="shared" si="60"/>
        <v>183628.9978</v>
      </c>
      <c r="T32" s="8">
        <f t="shared" si="61"/>
        <v>34597.53874</v>
      </c>
      <c r="U32" s="8">
        <f t="shared" si="7"/>
        <v>149031.4591</v>
      </c>
      <c r="V32" s="8">
        <f t="shared" ref="V32:W32" si="74">T32/1000</f>
        <v>34.59753874</v>
      </c>
      <c r="W32" s="8">
        <f t="shared" si="74"/>
        <v>149.0314591</v>
      </c>
      <c r="X32" s="8">
        <f t="shared" si="9"/>
        <v>81.1590004</v>
      </c>
      <c r="Y32" s="8">
        <f t="shared" si="10"/>
        <v>19</v>
      </c>
      <c r="Z32" s="8">
        <f t="shared" si="11"/>
        <v>82</v>
      </c>
      <c r="AA32" s="8">
        <f t="shared" si="12"/>
        <v>1</v>
      </c>
      <c r="AB32" s="8">
        <f t="shared" ref="AB32:AC32" si="75">ROUNDUP(V32/1000,0)</f>
        <v>1</v>
      </c>
      <c r="AC32" s="8">
        <f t="shared" si="75"/>
        <v>1</v>
      </c>
      <c r="AD32" s="8">
        <f t="shared" si="14"/>
        <v>97</v>
      </c>
      <c r="AE32" s="8">
        <f t="shared" si="15"/>
        <v>1</v>
      </c>
    </row>
    <row r="33" ht="22.5" customHeight="1">
      <c r="A33" s="7" t="s">
        <v>70</v>
      </c>
      <c r="B33" s="7" t="s">
        <v>67</v>
      </c>
      <c r="C33" s="7">
        <f t="shared" si="3"/>
        <v>2</v>
      </c>
      <c r="D33" s="7">
        <v>198.4100037</v>
      </c>
      <c r="E33" s="7">
        <v>17.88899994</v>
      </c>
      <c r="F33" s="7">
        <v>91.83772455</v>
      </c>
      <c r="G33" s="7">
        <v>6.520899952</v>
      </c>
      <c r="H33" s="7">
        <v>1.418623428</v>
      </c>
      <c r="I33" s="7">
        <v>0.2227520679</v>
      </c>
      <c r="J33" s="7">
        <v>91.78032287</v>
      </c>
      <c r="K33" s="7">
        <v>6.220703339</v>
      </c>
      <c r="L33" s="7">
        <v>1.72769216</v>
      </c>
      <c r="M33" s="7">
        <v>0.2712816327</v>
      </c>
      <c r="N33" s="7">
        <v>92.10119</v>
      </c>
      <c r="O33" s="7">
        <v>7.89881</v>
      </c>
      <c r="P33" s="7">
        <v>0.0</v>
      </c>
      <c r="Q33" s="7">
        <v>0.0</v>
      </c>
      <c r="R33" s="8">
        <f t="shared" si="4"/>
        <v>17</v>
      </c>
      <c r="S33" s="8">
        <f t="shared" si="60"/>
        <v>198410.0037</v>
      </c>
      <c r="T33" s="8">
        <f t="shared" si="61"/>
        <v>35493.56544</v>
      </c>
      <c r="U33" s="8">
        <f t="shared" si="7"/>
        <v>162916.4383</v>
      </c>
      <c r="V33" s="8">
        <f t="shared" ref="V33:W33" si="76">T33/1000</f>
        <v>35.49356544</v>
      </c>
      <c r="W33" s="8">
        <f t="shared" si="76"/>
        <v>162.9164383</v>
      </c>
      <c r="X33" s="8">
        <f t="shared" si="9"/>
        <v>82.11100006</v>
      </c>
      <c r="Y33" s="8">
        <f t="shared" si="10"/>
        <v>18</v>
      </c>
      <c r="Z33" s="8">
        <f t="shared" si="11"/>
        <v>83</v>
      </c>
      <c r="AA33" s="8">
        <f t="shared" si="12"/>
        <v>1</v>
      </c>
      <c r="AB33" s="8">
        <f t="shared" ref="AB33:AC33" si="77">ROUNDUP(V33/1000,0)</f>
        <v>1</v>
      </c>
      <c r="AC33" s="8">
        <f t="shared" si="77"/>
        <v>1</v>
      </c>
      <c r="AD33" s="8">
        <f t="shared" si="14"/>
        <v>92</v>
      </c>
      <c r="AE33" s="8">
        <f t="shared" si="15"/>
        <v>1</v>
      </c>
    </row>
    <row r="34" ht="22.5" customHeight="1">
      <c r="A34" s="7" t="s">
        <v>71</v>
      </c>
      <c r="B34" s="7" t="s">
        <v>67</v>
      </c>
      <c r="C34" s="7">
        <f t="shared" si="3"/>
        <v>2</v>
      </c>
      <c r="D34" s="7">
        <v>219.1609955</v>
      </c>
      <c r="E34" s="7">
        <v>74.35400391</v>
      </c>
      <c r="F34" s="7">
        <v>78.22645516</v>
      </c>
      <c r="G34" s="7">
        <v>20.23798298</v>
      </c>
      <c r="H34" s="7">
        <v>0.4435199284</v>
      </c>
      <c r="I34" s="7">
        <v>1.09204193</v>
      </c>
      <c r="J34" s="7">
        <v>74.30061449</v>
      </c>
      <c r="K34" s="7">
        <v>19.71184258</v>
      </c>
      <c r="L34" s="7">
        <v>1.729405704</v>
      </c>
      <c r="M34" s="7">
        <v>4.258137228</v>
      </c>
      <c r="N34" s="7">
        <v>79.5805429</v>
      </c>
      <c r="O34" s="7">
        <v>20.4194571</v>
      </c>
      <c r="P34" s="7">
        <v>0.0</v>
      </c>
      <c r="Q34" s="7">
        <v>0.0</v>
      </c>
      <c r="R34" s="8">
        <f t="shared" si="4"/>
        <v>17</v>
      </c>
      <c r="S34" s="8">
        <f t="shared" si="60"/>
        <v>219160.9955</v>
      </c>
      <c r="T34" s="8">
        <f t="shared" si="61"/>
        <v>162954.9752</v>
      </c>
      <c r="U34" s="8">
        <f t="shared" si="7"/>
        <v>56206.02034</v>
      </c>
      <c r="V34" s="8">
        <f t="shared" ref="V34:W34" si="78">T34/1000</f>
        <v>162.9549752</v>
      </c>
      <c r="W34" s="8">
        <f t="shared" si="78"/>
        <v>56.20602034</v>
      </c>
      <c r="X34" s="8">
        <f t="shared" si="9"/>
        <v>25.64599609</v>
      </c>
      <c r="Y34" s="8">
        <f t="shared" si="10"/>
        <v>75</v>
      </c>
      <c r="Z34" s="8">
        <f t="shared" si="11"/>
        <v>26</v>
      </c>
      <c r="AA34" s="8">
        <f t="shared" si="12"/>
        <v>1</v>
      </c>
      <c r="AB34" s="8">
        <f t="shared" ref="AB34:AC34" si="79">ROUNDUP(V34/1000,0)</f>
        <v>1</v>
      </c>
      <c r="AC34" s="8">
        <f t="shared" si="79"/>
        <v>1</v>
      </c>
      <c r="AD34" s="8">
        <f t="shared" si="14"/>
        <v>78</v>
      </c>
      <c r="AE34" s="8">
        <f t="shared" si="15"/>
        <v>1</v>
      </c>
    </row>
    <row r="35" ht="22.5" customHeight="1">
      <c r="A35" s="7" t="s">
        <v>72</v>
      </c>
      <c r="B35" s="7" t="s">
        <v>36</v>
      </c>
      <c r="C35" s="7">
        <f t="shared" si="3"/>
        <v>0</v>
      </c>
      <c r="D35" s="7">
        <v>272.8129883</v>
      </c>
      <c r="E35" s="7">
        <v>45.75099945</v>
      </c>
      <c r="F35" s="7">
        <v>96.37117971</v>
      </c>
      <c r="G35" s="7">
        <v>0.0</v>
      </c>
      <c r="H35" s="7">
        <v>3.628820295</v>
      </c>
      <c r="I35" s="7" t="s">
        <v>36</v>
      </c>
      <c r="J35" s="7" t="s">
        <v>36</v>
      </c>
      <c r="K35" s="7" t="s">
        <v>36</v>
      </c>
      <c r="L35" s="7" t="s">
        <v>36</v>
      </c>
      <c r="M35" s="7" t="s">
        <v>36</v>
      </c>
      <c r="N35" s="7" t="s">
        <v>36</v>
      </c>
      <c r="O35" s="7" t="s">
        <v>36</v>
      </c>
      <c r="P35" s="7" t="s">
        <v>36</v>
      </c>
      <c r="Q35" s="7" t="s">
        <v>36</v>
      </c>
      <c r="R35" s="8">
        <f t="shared" si="4"/>
        <v>17</v>
      </c>
      <c r="S35" s="8">
        <f t="shared" si="60"/>
        <v>272812.9883</v>
      </c>
      <c r="T35" s="8">
        <f t="shared" si="61"/>
        <v>124814.6688</v>
      </c>
      <c r="U35" s="8">
        <f t="shared" si="7"/>
        <v>147998.3195</v>
      </c>
      <c r="V35" s="8">
        <f t="shared" ref="V35:W35" si="80">T35/1000</f>
        <v>124.8146688</v>
      </c>
      <c r="W35" s="8">
        <f t="shared" si="80"/>
        <v>147.9983195</v>
      </c>
      <c r="X35" s="8">
        <f t="shared" si="9"/>
        <v>54.24900055</v>
      </c>
      <c r="Y35" s="8">
        <f t="shared" si="10"/>
        <v>46</v>
      </c>
      <c r="Z35" s="8">
        <f t="shared" si="11"/>
        <v>55</v>
      </c>
      <c r="AA35" s="8">
        <f t="shared" si="12"/>
        <v>1</v>
      </c>
      <c r="AB35" s="8">
        <f t="shared" ref="AB35:AC35" si="81">ROUNDUP(V35/1000,0)</f>
        <v>1</v>
      </c>
      <c r="AC35" s="8">
        <f t="shared" si="81"/>
        <v>1</v>
      </c>
      <c r="AD35" s="8">
        <f t="shared" si="14"/>
        <v>96</v>
      </c>
      <c r="AE35" s="8">
        <f t="shared" si="15"/>
        <v>1</v>
      </c>
    </row>
    <row r="36" ht="22.5" customHeight="1">
      <c r="A36" s="7" t="s">
        <v>73</v>
      </c>
      <c r="B36" s="7" t="s">
        <v>44</v>
      </c>
      <c r="C36" s="7">
        <f t="shared" si="3"/>
        <v>4</v>
      </c>
      <c r="D36" s="7">
        <v>280.9039917</v>
      </c>
      <c r="E36" s="7">
        <v>61.97500229</v>
      </c>
      <c r="F36" s="7">
        <v>100.0</v>
      </c>
      <c r="G36" s="7">
        <v>0.0</v>
      </c>
      <c r="H36" s="7">
        <v>0.0</v>
      </c>
      <c r="I36" s="7">
        <v>0.0</v>
      </c>
      <c r="J36" s="7" t="s">
        <v>36</v>
      </c>
      <c r="K36" s="7" t="s">
        <v>36</v>
      </c>
      <c r="L36" s="7" t="s">
        <v>36</v>
      </c>
      <c r="M36" s="7" t="s">
        <v>36</v>
      </c>
      <c r="N36" s="7" t="s">
        <v>36</v>
      </c>
      <c r="O36" s="7" t="s">
        <v>36</v>
      </c>
      <c r="P36" s="7" t="s">
        <v>36</v>
      </c>
      <c r="Q36" s="7" t="s">
        <v>36</v>
      </c>
      <c r="R36" s="8">
        <f t="shared" si="4"/>
        <v>17</v>
      </c>
      <c r="S36" s="8">
        <f t="shared" si="60"/>
        <v>280903.9917</v>
      </c>
      <c r="T36" s="8">
        <f t="shared" si="61"/>
        <v>174090.2553</v>
      </c>
      <c r="U36" s="8">
        <f t="shared" si="7"/>
        <v>106813.7364</v>
      </c>
      <c r="V36" s="8">
        <f t="shared" ref="V36:W36" si="82">T36/1000</f>
        <v>174.0902553</v>
      </c>
      <c r="W36" s="8">
        <f t="shared" si="82"/>
        <v>106.8137364</v>
      </c>
      <c r="X36" s="8">
        <f t="shared" si="9"/>
        <v>38.02499771</v>
      </c>
      <c r="Y36" s="8">
        <f t="shared" si="10"/>
        <v>62</v>
      </c>
      <c r="Z36" s="8">
        <f t="shared" si="11"/>
        <v>39</v>
      </c>
      <c r="AA36" s="8">
        <f t="shared" si="12"/>
        <v>1</v>
      </c>
      <c r="AB36" s="8">
        <f t="shared" ref="AB36:AC36" si="83">ROUNDUP(V36/1000,0)</f>
        <v>1</v>
      </c>
      <c r="AC36" s="8">
        <f t="shared" si="83"/>
        <v>1</v>
      </c>
      <c r="AD36" s="8">
        <f t="shared" si="14"/>
        <v>100</v>
      </c>
      <c r="AE36" s="8">
        <f t="shared" si="15"/>
        <v>1</v>
      </c>
    </row>
    <row r="37" ht="22.5" customHeight="1">
      <c r="A37" s="7" t="s">
        <v>74</v>
      </c>
      <c r="B37" s="7" t="s">
        <v>44</v>
      </c>
      <c r="C37" s="7">
        <f t="shared" si="3"/>
        <v>4</v>
      </c>
      <c r="D37" s="7">
        <v>285.4909973</v>
      </c>
      <c r="E37" s="7">
        <v>71.51799774</v>
      </c>
      <c r="F37" s="7">
        <v>99.30532057</v>
      </c>
      <c r="G37" s="7">
        <v>0.0</v>
      </c>
      <c r="H37" s="7">
        <v>0.6946794278</v>
      </c>
      <c r="I37" s="7">
        <v>0.0</v>
      </c>
      <c r="J37" s="7" t="s">
        <v>36</v>
      </c>
      <c r="K37" s="7" t="s">
        <v>36</v>
      </c>
      <c r="L37" s="7" t="s">
        <v>36</v>
      </c>
      <c r="M37" s="7" t="s">
        <v>36</v>
      </c>
      <c r="N37" s="7" t="s">
        <v>36</v>
      </c>
      <c r="O37" s="7" t="s">
        <v>36</v>
      </c>
      <c r="P37" s="7" t="s">
        <v>36</v>
      </c>
      <c r="Q37" s="7" t="s">
        <v>36</v>
      </c>
      <c r="R37" s="8">
        <f t="shared" si="4"/>
        <v>17</v>
      </c>
      <c r="S37" s="8">
        <f t="shared" si="60"/>
        <v>285490.9973</v>
      </c>
      <c r="T37" s="8">
        <f t="shared" si="61"/>
        <v>204177.445</v>
      </c>
      <c r="U37" s="8">
        <f t="shared" si="7"/>
        <v>81313.5523</v>
      </c>
      <c r="V37" s="8">
        <f t="shared" ref="V37:W37" si="84">T37/1000</f>
        <v>204.177445</v>
      </c>
      <c r="W37" s="8">
        <f t="shared" si="84"/>
        <v>81.3135523</v>
      </c>
      <c r="X37" s="8">
        <f t="shared" si="9"/>
        <v>28.48200226</v>
      </c>
      <c r="Y37" s="8">
        <f t="shared" si="10"/>
        <v>72</v>
      </c>
      <c r="Z37" s="8">
        <f t="shared" si="11"/>
        <v>29</v>
      </c>
      <c r="AA37" s="8">
        <f t="shared" si="12"/>
        <v>1</v>
      </c>
      <c r="AB37" s="8">
        <f t="shared" ref="AB37:AC37" si="85">ROUNDUP(V37/1000,0)</f>
        <v>1</v>
      </c>
      <c r="AC37" s="8">
        <f t="shared" si="85"/>
        <v>1</v>
      </c>
      <c r="AD37" s="8">
        <f t="shared" si="14"/>
        <v>99</v>
      </c>
      <c r="AE37" s="8">
        <f t="shared" si="15"/>
        <v>1</v>
      </c>
    </row>
    <row r="38" ht="22.5" customHeight="1">
      <c r="A38" s="7" t="s">
        <v>75</v>
      </c>
      <c r="B38" s="7" t="s">
        <v>44</v>
      </c>
      <c r="C38" s="7">
        <f t="shared" si="3"/>
        <v>4</v>
      </c>
      <c r="D38" s="7">
        <v>287.3710022</v>
      </c>
      <c r="E38" s="7">
        <v>31.19099998</v>
      </c>
      <c r="F38" s="7">
        <v>98.51445042</v>
      </c>
      <c r="G38" s="7">
        <v>0.2676005761</v>
      </c>
      <c r="H38" s="7">
        <v>1.217949005</v>
      </c>
      <c r="I38" s="7">
        <v>0.0</v>
      </c>
      <c r="J38" s="7" t="s">
        <v>36</v>
      </c>
      <c r="K38" s="7" t="s">
        <v>36</v>
      </c>
      <c r="L38" s="7" t="s">
        <v>36</v>
      </c>
      <c r="M38" s="7" t="s">
        <v>36</v>
      </c>
      <c r="N38" s="7" t="s">
        <v>36</v>
      </c>
      <c r="O38" s="7" t="s">
        <v>36</v>
      </c>
      <c r="P38" s="7" t="s">
        <v>36</v>
      </c>
      <c r="Q38" s="7" t="s">
        <v>36</v>
      </c>
      <c r="R38" s="8">
        <f t="shared" si="4"/>
        <v>17</v>
      </c>
      <c r="S38" s="8">
        <f t="shared" si="60"/>
        <v>287371.0022</v>
      </c>
      <c r="T38" s="8">
        <f t="shared" si="61"/>
        <v>89633.88924</v>
      </c>
      <c r="U38" s="8">
        <f t="shared" si="7"/>
        <v>197737.113</v>
      </c>
      <c r="V38" s="8">
        <f t="shared" ref="V38:W38" si="86">T38/1000</f>
        <v>89.63388924</v>
      </c>
      <c r="W38" s="8">
        <f t="shared" si="86"/>
        <v>197.737113</v>
      </c>
      <c r="X38" s="8">
        <f t="shared" si="9"/>
        <v>68.80900002</v>
      </c>
      <c r="Y38" s="8">
        <f t="shared" si="10"/>
        <v>32</v>
      </c>
      <c r="Z38" s="8">
        <f t="shared" si="11"/>
        <v>69</v>
      </c>
      <c r="AA38" s="8">
        <f t="shared" si="12"/>
        <v>1</v>
      </c>
      <c r="AB38" s="8">
        <f t="shared" ref="AB38:AC38" si="87">ROUNDUP(V38/1000,0)</f>
        <v>1</v>
      </c>
      <c r="AC38" s="8">
        <f t="shared" si="87"/>
        <v>1</v>
      </c>
      <c r="AD38" s="8">
        <f t="shared" si="14"/>
        <v>99</v>
      </c>
      <c r="AE38" s="8">
        <f t="shared" si="15"/>
        <v>1</v>
      </c>
    </row>
    <row r="39" ht="22.5" customHeight="1">
      <c r="A39" s="7" t="s">
        <v>76</v>
      </c>
      <c r="B39" s="7" t="s">
        <v>36</v>
      </c>
      <c r="C39" s="7">
        <f t="shared" si="3"/>
        <v>0</v>
      </c>
      <c r="D39" s="7">
        <v>298.6820068</v>
      </c>
      <c r="E39" s="7">
        <v>85.81999969</v>
      </c>
      <c r="F39" s="7">
        <v>93.78221635</v>
      </c>
      <c r="G39" s="7">
        <v>0.0</v>
      </c>
      <c r="H39" s="7">
        <v>6.217783652</v>
      </c>
      <c r="I39" s="7">
        <v>0.0</v>
      </c>
      <c r="J39" s="7" t="s">
        <v>36</v>
      </c>
      <c r="K39" s="7" t="s">
        <v>36</v>
      </c>
      <c r="L39" s="7" t="s">
        <v>36</v>
      </c>
      <c r="M39" s="7" t="s">
        <v>36</v>
      </c>
      <c r="N39" s="7" t="s">
        <v>36</v>
      </c>
      <c r="O39" s="7" t="s">
        <v>36</v>
      </c>
      <c r="P39" s="7" t="s">
        <v>36</v>
      </c>
      <c r="Q39" s="7" t="s">
        <v>36</v>
      </c>
      <c r="R39" s="8">
        <f t="shared" si="4"/>
        <v>17</v>
      </c>
      <c r="S39" s="8">
        <f t="shared" si="60"/>
        <v>298682.0068</v>
      </c>
      <c r="T39" s="8">
        <f t="shared" si="61"/>
        <v>256328.8973</v>
      </c>
      <c r="U39" s="8">
        <f t="shared" si="7"/>
        <v>42353.10949</v>
      </c>
      <c r="V39" s="8">
        <f t="shared" ref="V39:W39" si="88">T39/1000</f>
        <v>256.3288973</v>
      </c>
      <c r="W39" s="8">
        <f t="shared" si="88"/>
        <v>42.35310949</v>
      </c>
      <c r="X39" s="8">
        <f t="shared" si="9"/>
        <v>14.18000031</v>
      </c>
      <c r="Y39" s="8">
        <f t="shared" si="10"/>
        <v>86</v>
      </c>
      <c r="Z39" s="8">
        <f t="shared" si="11"/>
        <v>15</v>
      </c>
      <c r="AA39" s="8">
        <f t="shared" si="12"/>
        <v>1</v>
      </c>
      <c r="AB39" s="8">
        <f t="shared" ref="AB39:AC39" si="89">ROUNDUP(V39/1000,0)</f>
        <v>1</v>
      </c>
      <c r="AC39" s="8">
        <f t="shared" si="89"/>
        <v>1</v>
      </c>
      <c r="AD39" s="8">
        <f t="shared" si="14"/>
        <v>94</v>
      </c>
      <c r="AE39" s="8">
        <f t="shared" si="15"/>
        <v>1</v>
      </c>
    </row>
    <row r="40" ht="22.5" customHeight="1">
      <c r="A40" s="7" t="s">
        <v>77</v>
      </c>
      <c r="B40" s="7" t="s">
        <v>67</v>
      </c>
      <c r="C40" s="7">
        <f t="shared" si="3"/>
        <v>2</v>
      </c>
      <c r="D40" s="7">
        <v>307.1499939</v>
      </c>
      <c r="E40" s="7">
        <v>25.52500153</v>
      </c>
      <c r="F40" s="7">
        <v>91.23119075</v>
      </c>
      <c r="G40" s="7">
        <v>1.06238505</v>
      </c>
      <c r="H40" s="7">
        <v>0.0</v>
      </c>
      <c r="I40" s="7">
        <v>7.706424202</v>
      </c>
      <c r="J40" s="7">
        <v>88.39720123</v>
      </c>
      <c r="K40" s="7">
        <v>1.255132675</v>
      </c>
      <c r="L40" s="7">
        <v>0.0</v>
      </c>
      <c r="M40" s="7">
        <v>10.3476661</v>
      </c>
      <c r="N40" s="7">
        <v>99.5</v>
      </c>
      <c r="O40" s="7">
        <v>0.5</v>
      </c>
      <c r="P40" s="7">
        <v>0.0</v>
      </c>
      <c r="Q40" s="7">
        <v>0.0</v>
      </c>
      <c r="R40" s="8">
        <f t="shared" si="4"/>
        <v>17</v>
      </c>
      <c r="S40" s="8">
        <f t="shared" si="60"/>
        <v>307149.9939</v>
      </c>
      <c r="T40" s="8">
        <f t="shared" si="61"/>
        <v>78400.04064</v>
      </c>
      <c r="U40" s="8">
        <f t="shared" si="7"/>
        <v>228749.9533</v>
      </c>
      <c r="V40" s="8">
        <f t="shared" ref="V40:W40" si="90">T40/1000</f>
        <v>78.40004064</v>
      </c>
      <c r="W40" s="8">
        <f t="shared" si="90"/>
        <v>228.7499533</v>
      </c>
      <c r="X40" s="8">
        <f t="shared" si="9"/>
        <v>74.47499847</v>
      </c>
      <c r="Y40" s="8">
        <f t="shared" si="10"/>
        <v>26</v>
      </c>
      <c r="Z40" s="8">
        <f t="shared" si="11"/>
        <v>75</v>
      </c>
      <c r="AA40" s="8">
        <f t="shared" si="12"/>
        <v>1</v>
      </c>
      <c r="AB40" s="8">
        <f t="shared" ref="AB40:AC40" si="91">ROUNDUP(V40/1000,0)</f>
        <v>1</v>
      </c>
      <c r="AC40" s="8">
        <f t="shared" si="91"/>
        <v>1</v>
      </c>
      <c r="AD40" s="8">
        <f t="shared" si="14"/>
        <v>91</v>
      </c>
      <c r="AE40" s="8">
        <f t="shared" si="15"/>
        <v>1</v>
      </c>
    </row>
    <row r="41" ht="22.5" customHeight="1">
      <c r="A41" s="7" t="s">
        <v>78</v>
      </c>
      <c r="B41" s="7" t="s">
        <v>44</v>
      </c>
      <c r="C41" s="7">
        <f t="shared" si="3"/>
        <v>4</v>
      </c>
      <c r="D41" s="7">
        <v>341.25</v>
      </c>
      <c r="E41" s="7">
        <v>93.897995</v>
      </c>
      <c r="F41" s="7">
        <v>99.99999721</v>
      </c>
      <c r="G41" s="7">
        <v>0.0</v>
      </c>
      <c r="H41" s="7">
        <v>2.794650015E-6</v>
      </c>
      <c r="I41" s="7">
        <v>0.0</v>
      </c>
      <c r="J41" s="7">
        <v>100.0</v>
      </c>
      <c r="K41" s="7">
        <v>0.0</v>
      </c>
      <c r="L41" s="7">
        <v>0.0</v>
      </c>
      <c r="M41" s="7">
        <v>0.0</v>
      </c>
      <c r="N41" s="7">
        <v>100.0</v>
      </c>
      <c r="O41" s="7">
        <v>0.0</v>
      </c>
      <c r="P41" s="7">
        <v>0.0</v>
      </c>
      <c r="Q41" s="7">
        <v>0.0</v>
      </c>
      <c r="R41" s="8">
        <f t="shared" si="4"/>
        <v>17</v>
      </c>
      <c r="S41" s="8">
        <f t="shared" si="60"/>
        <v>341250</v>
      </c>
      <c r="T41" s="8">
        <f t="shared" si="61"/>
        <v>320426.9079</v>
      </c>
      <c r="U41" s="8">
        <f t="shared" si="7"/>
        <v>20823.09206</v>
      </c>
      <c r="V41" s="8">
        <f t="shared" ref="V41:W41" si="92">T41/1000</f>
        <v>320.4269079</v>
      </c>
      <c r="W41" s="8">
        <f t="shared" si="92"/>
        <v>20.82309206</v>
      </c>
      <c r="X41" s="8">
        <f t="shared" si="9"/>
        <v>6.102005</v>
      </c>
      <c r="Y41" s="8">
        <f t="shared" si="10"/>
        <v>94</v>
      </c>
      <c r="Z41" s="8">
        <f t="shared" si="11"/>
        <v>7</v>
      </c>
      <c r="AA41" s="8">
        <f t="shared" si="12"/>
        <v>1</v>
      </c>
      <c r="AB41" s="8">
        <f t="shared" ref="AB41:AC41" si="93">ROUNDUP(V41/1000,0)</f>
        <v>1</v>
      </c>
      <c r="AC41" s="8">
        <f t="shared" si="93"/>
        <v>1</v>
      </c>
      <c r="AD41" s="8">
        <f t="shared" si="14"/>
        <v>100</v>
      </c>
      <c r="AE41" s="8">
        <f t="shared" si="15"/>
        <v>1</v>
      </c>
    </row>
    <row r="42" ht="22.5" customHeight="1">
      <c r="A42" s="7" t="s">
        <v>79</v>
      </c>
      <c r="B42" s="7" t="s">
        <v>36</v>
      </c>
      <c r="C42" s="7">
        <f t="shared" si="3"/>
        <v>0</v>
      </c>
      <c r="D42" s="7">
        <v>375.2650146</v>
      </c>
      <c r="E42" s="7">
        <v>89.13999939</v>
      </c>
      <c r="F42" s="7">
        <v>99.84197078</v>
      </c>
      <c r="G42" s="7">
        <v>0.0</v>
      </c>
      <c r="H42" s="7">
        <v>0.1580292158</v>
      </c>
      <c r="I42" s="7">
        <v>0.0</v>
      </c>
      <c r="J42" s="7" t="s">
        <v>36</v>
      </c>
      <c r="K42" s="7" t="s">
        <v>36</v>
      </c>
      <c r="L42" s="7" t="s">
        <v>36</v>
      </c>
      <c r="M42" s="7" t="s">
        <v>36</v>
      </c>
      <c r="N42" s="7" t="s">
        <v>36</v>
      </c>
      <c r="O42" s="7" t="s">
        <v>36</v>
      </c>
      <c r="P42" s="7" t="s">
        <v>36</v>
      </c>
      <c r="Q42" s="7" t="s">
        <v>36</v>
      </c>
      <c r="R42" s="8">
        <f t="shared" si="4"/>
        <v>17</v>
      </c>
      <c r="S42" s="8">
        <f t="shared" si="60"/>
        <v>375265.0146</v>
      </c>
      <c r="T42" s="8">
        <f t="shared" si="61"/>
        <v>334511.2317</v>
      </c>
      <c r="U42" s="8">
        <f t="shared" si="7"/>
        <v>40753.78287</v>
      </c>
      <c r="V42" s="8">
        <f t="shared" ref="V42:W42" si="94">T42/1000</f>
        <v>334.5112317</v>
      </c>
      <c r="W42" s="8">
        <f t="shared" si="94"/>
        <v>40.75378287</v>
      </c>
      <c r="X42" s="8">
        <f t="shared" si="9"/>
        <v>10.86000061</v>
      </c>
      <c r="Y42" s="8">
        <f t="shared" si="10"/>
        <v>90</v>
      </c>
      <c r="Z42" s="8">
        <f t="shared" si="11"/>
        <v>11</v>
      </c>
      <c r="AA42" s="8">
        <f t="shared" si="12"/>
        <v>1</v>
      </c>
      <c r="AB42" s="8">
        <f t="shared" ref="AB42:AC42" si="95">ROUNDUP(V42/1000,0)</f>
        <v>1</v>
      </c>
      <c r="AC42" s="8">
        <f t="shared" si="95"/>
        <v>1</v>
      </c>
      <c r="AD42" s="8">
        <f t="shared" si="14"/>
        <v>100</v>
      </c>
      <c r="AE42" s="8">
        <f t="shared" si="15"/>
        <v>1</v>
      </c>
    </row>
    <row r="43" ht="22.5" customHeight="1">
      <c r="A43" s="7" t="s">
        <v>80</v>
      </c>
      <c r="B43" s="7" t="s">
        <v>47</v>
      </c>
      <c r="C43" s="7">
        <f t="shared" si="3"/>
        <v>3</v>
      </c>
      <c r="D43" s="7">
        <v>397.6210022</v>
      </c>
      <c r="E43" s="7">
        <v>46.02500153</v>
      </c>
      <c r="F43" s="7">
        <v>98.40195463</v>
      </c>
      <c r="G43" s="7">
        <v>1.249110629</v>
      </c>
      <c r="H43" s="7">
        <v>0.3489347411</v>
      </c>
      <c r="I43" s="7">
        <v>0.0</v>
      </c>
      <c r="J43" s="7">
        <v>97.99520758</v>
      </c>
      <c r="K43" s="7">
        <v>1.358317682</v>
      </c>
      <c r="L43" s="7">
        <v>0.6464747393</v>
      </c>
      <c r="M43" s="7">
        <v>0.0</v>
      </c>
      <c r="N43" s="7">
        <v>98.87896</v>
      </c>
      <c r="O43" s="7">
        <v>1.12104</v>
      </c>
      <c r="P43" s="7">
        <v>0.0</v>
      </c>
      <c r="Q43" s="7">
        <v>0.0</v>
      </c>
      <c r="R43" s="8">
        <f t="shared" si="4"/>
        <v>17</v>
      </c>
      <c r="S43" s="8">
        <f t="shared" si="60"/>
        <v>397621.0022</v>
      </c>
      <c r="T43" s="8">
        <f t="shared" si="61"/>
        <v>183005.0723</v>
      </c>
      <c r="U43" s="8">
        <f t="shared" si="7"/>
        <v>214615.9299</v>
      </c>
      <c r="V43" s="8">
        <f t="shared" ref="V43:W43" si="96">T43/1000</f>
        <v>183.0050723</v>
      </c>
      <c r="W43" s="8">
        <f t="shared" si="96"/>
        <v>214.6159299</v>
      </c>
      <c r="X43" s="8">
        <f t="shared" si="9"/>
        <v>53.97499847</v>
      </c>
      <c r="Y43" s="8">
        <f t="shared" si="10"/>
        <v>47</v>
      </c>
      <c r="Z43" s="8">
        <f t="shared" si="11"/>
        <v>54</v>
      </c>
      <c r="AA43" s="8">
        <f t="shared" si="12"/>
        <v>1</v>
      </c>
      <c r="AB43" s="8">
        <f t="shared" ref="AB43:AC43" si="97">ROUNDUP(V43/1000,0)</f>
        <v>1</v>
      </c>
      <c r="AC43" s="8">
        <f t="shared" si="97"/>
        <v>1</v>
      </c>
      <c r="AD43" s="8">
        <f t="shared" si="14"/>
        <v>98</v>
      </c>
      <c r="AE43" s="8">
        <f t="shared" si="15"/>
        <v>1</v>
      </c>
    </row>
    <row r="44" ht="22.5" customHeight="1">
      <c r="A44" s="7" t="s">
        <v>81</v>
      </c>
      <c r="B44" s="7" t="s">
        <v>36</v>
      </c>
      <c r="C44" s="7">
        <f t="shared" si="3"/>
        <v>0</v>
      </c>
      <c r="D44" s="7">
        <v>400.1270142</v>
      </c>
      <c r="E44" s="7">
        <v>98.49899292</v>
      </c>
      <c r="F44" s="7">
        <v>99.80312604</v>
      </c>
      <c r="G44" s="7">
        <v>0.0</v>
      </c>
      <c r="H44" s="7">
        <v>0.1968739613</v>
      </c>
      <c r="I44" s="7">
        <v>0.0</v>
      </c>
      <c r="J44" s="7" t="s">
        <v>36</v>
      </c>
      <c r="K44" s="7" t="s">
        <v>36</v>
      </c>
      <c r="L44" s="7" t="s">
        <v>36</v>
      </c>
      <c r="M44" s="7" t="s">
        <v>36</v>
      </c>
      <c r="N44" s="7" t="s">
        <v>36</v>
      </c>
      <c r="O44" s="7" t="s">
        <v>36</v>
      </c>
      <c r="P44" s="7" t="s">
        <v>36</v>
      </c>
      <c r="Q44" s="7" t="s">
        <v>36</v>
      </c>
      <c r="R44" s="8">
        <f t="shared" si="4"/>
        <v>17</v>
      </c>
      <c r="S44" s="8">
        <f t="shared" si="60"/>
        <v>400127.0142</v>
      </c>
      <c r="T44" s="8">
        <f t="shared" si="61"/>
        <v>394121.0794</v>
      </c>
      <c r="U44" s="8">
        <f t="shared" si="7"/>
        <v>6005.934812</v>
      </c>
      <c r="V44" s="8">
        <f t="shared" ref="V44:W44" si="98">T44/1000</f>
        <v>394.1210794</v>
      </c>
      <c r="W44" s="8">
        <f t="shared" si="98"/>
        <v>6.005934812</v>
      </c>
      <c r="X44" s="8">
        <f t="shared" si="9"/>
        <v>1.50100708</v>
      </c>
      <c r="Y44" s="8">
        <f t="shared" si="10"/>
        <v>99</v>
      </c>
      <c r="Z44" s="8">
        <f t="shared" si="11"/>
        <v>2</v>
      </c>
      <c r="AA44" s="8">
        <f t="shared" si="12"/>
        <v>1</v>
      </c>
      <c r="AB44" s="8">
        <f t="shared" ref="AB44:AC44" si="99">ROUNDUP(V44/1000,0)</f>
        <v>1</v>
      </c>
      <c r="AC44" s="8">
        <f t="shared" si="99"/>
        <v>1</v>
      </c>
      <c r="AD44" s="8">
        <f t="shared" si="14"/>
        <v>100</v>
      </c>
      <c r="AE44" s="8">
        <f t="shared" si="15"/>
        <v>1</v>
      </c>
    </row>
    <row r="45" ht="22.5" customHeight="1">
      <c r="A45" s="7" t="s">
        <v>82</v>
      </c>
      <c r="B45" s="7" t="s">
        <v>44</v>
      </c>
      <c r="C45" s="7">
        <f t="shared" si="3"/>
        <v>4</v>
      </c>
      <c r="D45" s="7">
        <v>437.4830017</v>
      </c>
      <c r="E45" s="7">
        <v>78.25000763</v>
      </c>
      <c r="F45" s="7">
        <v>99.9000368</v>
      </c>
      <c r="G45" s="7">
        <v>0.0</v>
      </c>
      <c r="H45" s="7">
        <v>0.09996320036</v>
      </c>
      <c r="I45" s="7">
        <v>0.0</v>
      </c>
      <c r="J45" s="7" t="s">
        <v>36</v>
      </c>
      <c r="K45" s="7" t="s">
        <v>36</v>
      </c>
      <c r="L45" s="7" t="s">
        <v>36</v>
      </c>
      <c r="M45" s="7" t="s">
        <v>36</v>
      </c>
      <c r="N45" s="7">
        <v>99.65</v>
      </c>
      <c r="O45" s="7">
        <v>0.0</v>
      </c>
      <c r="P45" s="7">
        <v>0.35</v>
      </c>
      <c r="Q45" s="7">
        <v>0.0</v>
      </c>
      <c r="R45" s="8">
        <f t="shared" si="4"/>
        <v>17</v>
      </c>
      <c r="S45" s="8">
        <f t="shared" si="60"/>
        <v>437483.0017</v>
      </c>
      <c r="T45" s="8">
        <f t="shared" si="61"/>
        <v>342330.4822</v>
      </c>
      <c r="U45" s="8">
        <f t="shared" si="7"/>
        <v>95152.51949</v>
      </c>
      <c r="V45" s="8">
        <f t="shared" ref="V45:W45" si="100">T45/1000</f>
        <v>342.3304822</v>
      </c>
      <c r="W45" s="8">
        <f t="shared" si="100"/>
        <v>95.15251949</v>
      </c>
      <c r="X45" s="8">
        <f t="shared" si="9"/>
        <v>21.74999237</v>
      </c>
      <c r="Y45" s="8">
        <f t="shared" si="10"/>
        <v>79</v>
      </c>
      <c r="Z45" s="8">
        <f t="shared" si="11"/>
        <v>22</v>
      </c>
      <c r="AA45" s="8">
        <f t="shared" si="12"/>
        <v>1</v>
      </c>
      <c r="AB45" s="8">
        <f t="shared" ref="AB45:AC45" si="101">ROUNDUP(V45/1000,0)</f>
        <v>1</v>
      </c>
      <c r="AC45" s="8">
        <f t="shared" si="101"/>
        <v>1</v>
      </c>
      <c r="AD45" s="8">
        <f t="shared" si="14"/>
        <v>100</v>
      </c>
      <c r="AE45" s="8">
        <f t="shared" si="15"/>
        <v>1</v>
      </c>
    </row>
    <row r="46" ht="22.5" customHeight="1">
      <c r="A46" s="7" t="s">
        <v>83</v>
      </c>
      <c r="B46" s="7" t="s">
        <v>44</v>
      </c>
      <c r="C46" s="7">
        <f t="shared" si="3"/>
        <v>4</v>
      </c>
      <c r="D46" s="7">
        <v>441.5390015</v>
      </c>
      <c r="E46" s="7">
        <v>94.7440033</v>
      </c>
      <c r="F46" s="7">
        <v>100.0000004</v>
      </c>
      <c r="G46" s="7">
        <v>0.0</v>
      </c>
      <c r="H46" s="7">
        <v>0.0</v>
      </c>
      <c r="I46" s="7">
        <v>0.0</v>
      </c>
      <c r="J46" s="7">
        <v>100.0</v>
      </c>
      <c r="K46" s="7">
        <v>0.0</v>
      </c>
      <c r="L46" s="7">
        <v>0.0</v>
      </c>
      <c r="M46" s="7">
        <v>0.0</v>
      </c>
      <c r="N46" s="7">
        <v>100.0</v>
      </c>
      <c r="O46" s="7">
        <v>0.0</v>
      </c>
      <c r="P46" s="7">
        <v>0.0</v>
      </c>
      <c r="Q46" s="7">
        <v>0.0</v>
      </c>
      <c r="R46" s="8">
        <f t="shared" si="4"/>
        <v>17</v>
      </c>
      <c r="S46" s="8">
        <f t="shared" si="60"/>
        <v>441539.0015</v>
      </c>
      <c r="T46" s="8">
        <f t="shared" si="61"/>
        <v>418331.7262</v>
      </c>
      <c r="U46" s="8">
        <f t="shared" si="7"/>
        <v>23207.27535</v>
      </c>
      <c r="V46" s="8">
        <f t="shared" ref="V46:W46" si="102">T46/1000</f>
        <v>418.3317262</v>
      </c>
      <c r="W46" s="8">
        <f t="shared" si="102"/>
        <v>23.20727535</v>
      </c>
      <c r="X46" s="8">
        <f t="shared" si="9"/>
        <v>5.2559967</v>
      </c>
      <c r="Y46" s="8">
        <f t="shared" si="10"/>
        <v>95</v>
      </c>
      <c r="Z46" s="8">
        <f t="shared" si="11"/>
        <v>6</v>
      </c>
      <c r="AA46" s="8">
        <f t="shared" si="12"/>
        <v>1</v>
      </c>
      <c r="AB46" s="8">
        <f t="shared" ref="AB46:AC46" si="103">ROUNDUP(V46/1000,0)</f>
        <v>1</v>
      </c>
      <c r="AC46" s="8">
        <f t="shared" si="103"/>
        <v>1</v>
      </c>
      <c r="AD46" s="8">
        <f t="shared" si="14"/>
        <v>100</v>
      </c>
      <c r="AE46" s="8">
        <f t="shared" si="15"/>
        <v>1</v>
      </c>
    </row>
    <row r="47" ht="22.5" customHeight="1">
      <c r="A47" s="7" t="s">
        <v>84</v>
      </c>
      <c r="B47" s="7" t="s">
        <v>47</v>
      </c>
      <c r="C47" s="7">
        <f t="shared" si="3"/>
        <v>3</v>
      </c>
      <c r="D47" s="7">
        <v>540.5419922</v>
      </c>
      <c r="E47" s="7">
        <v>40.66899872</v>
      </c>
      <c r="F47" s="7">
        <v>99.5444386</v>
      </c>
      <c r="G47" s="7">
        <v>0.0480506913</v>
      </c>
      <c r="H47" s="7">
        <v>0.407510705</v>
      </c>
      <c r="I47" s="7">
        <v>0.0</v>
      </c>
      <c r="J47" s="7">
        <v>99.9190125</v>
      </c>
      <c r="K47" s="7">
        <v>0.0809875</v>
      </c>
      <c r="L47" s="7">
        <v>0.0</v>
      </c>
      <c r="M47" s="7">
        <v>0.0</v>
      </c>
      <c r="N47" s="7">
        <v>98.99798893</v>
      </c>
      <c r="O47" s="7">
        <v>0.0</v>
      </c>
      <c r="P47" s="7">
        <v>1.002011069</v>
      </c>
      <c r="Q47" s="7">
        <v>0.0</v>
      </c>
      <c r="R47" s="8">
        <f t="shared" si="4"/>
        <v>17</v>
      </c>
      <c r="S47" s="8">
        <f t="shared" si="60"/>
        <v>540541.9922</v>
      </c>
      <c r="T47" s="8">
        <f t="shared" si="61"/>
        <v>219833.0159</v>
      </c>
      <c r="U47" s="8">
        <f t="shared" si="7"/>
        <v>320708.9763</v>
      </c>
      <c r="V47" s="8">
        <f t="shared" ref="V47:W47" si="104">T47/1000</f>
        <v>219.8330159</v>
      </c>
      <c r="W47" s="8">
        <f t="shared" si="104"/>
        <v>320.7089763</v>
      </c>
      <c r="X47" s="8">
        <f t="shared" si="9"/>
        <v>59.33100128</v>
      </c>
      <c r="Y47" s="8">
        <f t="shared" si="10"/>
        <v>41</v>
      </c>
      <c r="Z47" s="8">
        <f t="shared" si="11"/>
        <v>60</v>
      </c>
      <c r="AA47" s="8">
        <f t="shared" si="12"/>
        <v>1</v>
      </c>
      <c r="AB47" s="8">
        <f t="shared" ref="AB47:AC47" si="105">ROUNDUP(V47/1000,0)</f>
        <v>1</v>
      </c>
      <c r="AC47" s="8">
        <f t="shared" si="105"/>
        <v>1</v>
      </c>
      <c r="AD47" s="8">
        <f t="shared" si="14"/>
        <v>100</v>
      </c>
      <c r="AE47" s="8">
        <f t="shared" si="15"/>
        <v>1</v>
      </c>
    </row>
    <row r="48" ht="22.5" customHeight="1">
      <c r="A48" s="7" t="s">
        <v>85</v>
      </c>
      <c r="B48" s="7" t="s">
        <v>67</v>
      </c>
      <c r="C48" s="7">
        <f t="shared" si="3"/>
        <v>2</v>
      </c>
      <c r="D48" s="7">
        <v>555.9879761</v>
      </c>
      <c r="E48" s="7">
        <v>66.65200043</v>
      </c>
      <c r="F48" s="7">
        <v>88.76960642</v>
      </c>
      <c r="G48" s="7">
        <v>7.904150846</v>
      </c>
      <c r="H48" s="7">
        <v>3.209147716</v>
      </c>
      <c r="I48" s="7">
        <v>0.1170950144</v>
      </c>
      <c r="J48" s="7">
        <v>80.11452544</v>
      </c>
      <c r="K48" s="7">
        <v>9.911127022</v>
      </c>
      <c r="L48" s="7">
        <v>9.623217003</v>
      </c>
      <c r="M48" s="7">
        <v>0.3511305397</v>
      </c>
      <c r="N48" s="7">
        <v>93.1</v>
      </c>
      <c r="O48" s="7">
        <v>6.9</v>
      </c>
      <c r="P48" s="7">
        <v>0.0</v>
      </c>
      <c r="Q48" s="7">
        <v>0.0</v>
      </c>
      <c r="R48" s="8">
        <f t="shared" si="4"/>
        <v>17</v>
      </c>
      <c r="S48" s="8">
        <f t="shared" si="60"/>
        <v>555987.9761</v>
      </c>
      <c r="T48" s="11">
        <f t="shared" si="61"/>
        <v>370577.1082</v>
      </c>
      <c r="U48" s="8">
        <f t="shared" si="7"/>
        <v>185410.8679</v>
      </c>
      <c r="V48" s="8">
        <f t="shared" ref="V48:W48" si="106">T48/1000</f>
        <v>370.5771082</v>
      </c>
      <c r="W48" s="8">
        <f t="shared" si="106"/>
        <v>185.4108679</v>
      </c>
      <c r="X48" s="8">
        <f t="shared" si="9"/>
        <v>33.34799957</v>
      </c>
      <c r="Y48" s="8">
        <f t="shared" si="10"/>
        <v>67</v>
      </c>
      <c r="Z48" s="8">
        <f t="shared" si="11"/>
        <v>34</v>
      </c>
      <c r="AA48" s="8">
        <f t="shared" si="12"/>
        <v>1</v>
      </c>
      <c r="AB48" s="8">
        <f t="shared" ref="AB48:AC48" si="107">ROUNDUP(V48/1000,0)</f>
        <v>1</v>
      </c>
      <c r="AC48" s="8">
        <f t="shared" si="107"/>
        <v>1</v>
      </c>
      <c r="AD48" s="8">
        <f t="shared" si="14"/>
        <v>89</v>
      </c>
      <c r="AE48" s="8">
        <f t="shared" si="15"/>
        <v>1</v>
      </c>
    </row>
    <row r="49" ht="22.5" customHeight="1">
      <c r="A49" s="7" t="s">
        <v>91</v>
      </c>
      <c r="B49" s="7" t="s">
        <v>47</v>
      </c>
      <c r="C49" s="7">
        <f t="shared" si="3"/>
        <v>3</v>
      </c>
      <c r="D49" s="7">
        <v>586.6339722</v>
      </c>
      <c r="E49" s="7">
        <v>66.14900208</v>
      </c>
      <c r="F49" s="7">
        <v>97.98963167</v>
      </c>
      <c r="G49" s="7">
        <v>1.067246941</v>
      </c>
      <c r="H49" s="7">
        <v>0.3793365073</v>
      </c>
      <c r="I49" s="7">
        <v>0.563784884</v>
      </c>
      <c r="J49" s="7">
        <v>96.57441263</v>
      </c>
      <c r="K49" s="7">
        <v>1.60029586</v>
      </c>
      <c r="L49" s="7">
        <v>0.1598017947</v>
      </c>
      <c r="M49" s="7">
        <v>1.66548972</v>
      </c>
      <c r="N49" s="7">
        <v>98.71385387</v>
      </c>
      <c r="O49" s="7">
        <v>0.7944652371</v>
      </c>
      <c r="P49" s="7">
        <v>0.4916808925</v>
      </c>
      <c r="Q49" s="7">
        <v>0.0</v>
      </c>
      <c r="R49" s="8">
        <f t="shared" si="4"/>
        <v>17</v>
      </c>
      <c r="S49" s="8">
        <f t="shared" si="60"/>
        <v>586633.9722</v>
      </c>
      <c r="T49" s="8">
        <f t="shared" si="61"/>
        <v>388052.5185</v>
      </c>
      <c r="U49" s="8">
        <f t="shared" si="7"/>
        <v>198581.4537</v>
      </c>
      <c r="V49" s="8">
        <f t="shared" ref="V49:W49" si="108">T49/1000</f>
        <v>388.0525185</v>
      </c>
      <c r="W49" s="8">
        <f t="shared" si="108"/>
        <v>198.5814537</v>
      </c>
      <c r="X49" s="8">
        <f t="shared" si="9"/>
        <v>33.85099792</v>
      </c>
      <c r="Y49" s="8">
        <f t="shared" si="10"/>
        <v>67</v>
      </c>
      <c r="Z49" s="8">
        <f t="shared" si="11"/>
        <v>34</v>
      </c>
      <c r="AA49" s="8">
        <f t="shared" si="12"/>
        <v>1</v>
      </c>
      <c r="AB49" s="8">
        <f t="shared" ref="AB49:AC49" si="109">ROUNDUP(V49/1000,0)</f>
        <v>1</v>
      </c>
      <c r="AC49" s="8">
        <f t="shared" si="109"/>
        <v>1</v>
      </c>
      <c r="AD49" s="8">
        <f t="shared" si="14"/>
        <v>98</v>
      </c>
      <c r="AE49" s="8">
        <f t="shared" si="15"/>
        <v>1</v>
      </c>
    </row>
    <row r="50" ht="22.5" customHeight="1">
      <c r="A50" s="7" t="s">
        <v>95</v>
      </c>
      <c r="B50" s="7" t="s">
        <v>44</v>
      </c>
      <c r="C50" s="7">
        <f t="shared" si="3"/>
        <v>4</v>
      </c>
      <c r="D50" s="7">
        <v>625.9760132</v>
      </c>
      <c r="E50" s="7">
        <v>91.4529953</v>
      </c>
      <c r="F50" s="7">
        <v>99.87993254</v>
      </c>
      <c r="G50" s="7">
        <v>0.0</v>
      </c>
      <c r="H50" s="7">
        <v>0.1200674649</v>
      </c>
      <c r="I50" s="7">
        <v>0.0</v>
      </c>
      <c r="J50" s="7">
        <v>98.5952381</v>
      </c>
      <c r="K50" s="7">
        <v>0.0</v>
      </c>
      <c r="L50" s="7">
        <v>1.404761905</v>
      </c>
      <c r="M50" s="7">
        <v>0.0</v>
      </c>
      <c r="N50" s="7">
        <v>100.0</v>
      </c>
      <c r="O50" s="7">
        <v>0.0</v>
      </c>
      <c r="P50" s="7">
        <v>0.0</v>
      </c>
      <c r="Q50" s="7">
        <v>0.0</v>
      </c>
      <c r="R50" s="8">
        <f t="shared" si="4"/>
        <v>17</v>
      </c>
      <c r="S50" s="8">
        <f t="shared" si="60"/>
        <v>625976.0132</v>
      </c>
      <c r="T50" s="8">
        <f t="shared" si="61"/>
        <v>572473.8139</v>
      </c>
      <c r="U50" s="8">
        <f t="shared" si="7"/>
        <v>53502.19927</v>
      </c>
      <c r="V50" s="8">
        <f t="shared" ref="V50:W50" si="110">T50/1000</f>
        <v>572.4738139</v>
      </c>
      <c r="W50" s="8">
        <f t="shared" si="110"/>
        <v>53.50219927</v>
      </c>
      <c r="X50" s="8">
        <f t="shared" si="9"/>
        <v>8.5470047</v>
      </c>
      <c r="Y50" s="8">
        <f t="shared" si="10"/>
        <v>92</v>
      </c>
      <c r="Z50" s="8">
        <f t="shared" si="11"/>
        <v>9</v>
      </c>
      <c r="AA50" s="8">
        <f t="shared" si="12"/>
        <v>1</v>
      </c>
      <c r="AB50" s="8">
        <f t="shared" ref="AB50:AC50" si="111">ROUNDUP(V50/1000,0)</f>
        <v>1</v>
      </c>
      <c r="AC50" s="8">
        <f t="shared" si="111"/>
        <v>1</v>
      </c>
      <c r="AD50" s="8">
        <f t="shared" si="14"/>
        <v>100</v>
      </c>
      <c r="AE50" s="8">
        <f t="shared" si="15"/>
        <v>1</v>
      </c>
    </row>
    <row r="51" ht="22.5" customHeight="1">
      <c r="A51" s="7" t="s">
        <v>101</v>
      </c>
      <c r="B51" s="7" t="s">
        <v>47</v>
      </c>
      <c r="C51" s="7">
        <f t="shared" si="3"/>
        <v>3</v>
      </c>
      <c r="D51" s="7">
        <v>628.0620117</v>
      </c>
      <c r="E51" s="7">
        <v>67.48800659</v>
      </c>
      <c r="F51" s="7">
        <v>98.85691652</v>
      </c>
      <c r="G51" s="7">
        <v>0.5454788204</v>
      </c>
      <c r="H51" s="7">
        <v>0.592312011</v>
      </c>
      <c r="I51" s="7">
        <v>0.005292650894</v>
      </c>
      <c r="J51" s="7">
        <v>98.16188754</v>
      </c>
      <c r="K51" s="7">
        <v>0.0</v>
      </c>
      <c r="L51" s="7">
        <v>1.821833386</v>
      </c>
      <c r="M51" s="7">
        <v>0.01627906977</v>
      </c>
      <c r="N51" s="7">
        <v>99.19173959</v>
      </c>
      <c r="O51" s="7">
        <v>0.8082604128</v>
      </c>
      <c r="P51" s="7">
        <v>0.0</v>
      </c>
      <c r="Q51" s="7">
        <v>0.0</v>
      </c>
      <c r="R51" s="8">
        <f t="shared" si="4"/>
        <v>17</v>
      </c>
      <c r="S51" s="8">
        <f t="shared" si="60"/>
        <v>628062.0117</v>
      </c>
      <c r="T51" s="8">
        <f t="shared" si="61"/>
        <v>423866.5318</v>
      </c>
      <c r="U51" s="8">
        <f t="shared" si="7"/>
        <v>204195.4799</v>
      </c>
      <c r="V51" s="8">
        <f t="shared" ref="V51:W51" si="112">T51/1000</f>
        <v>423.8665318</v>
      </c>
      <c r="W51" s="8">
        <f t="shared" si="112"/>
        <v>204.1954799</v>
      </c>
      <c r="X51" s="8">
        <f t="shared" si="9"/>
        <v>32.51199341</v>
      </c>
      <c r="Y51" s="8">
        <f t="shared" si="10"/>
        <v>68</v>
      </c>
      <c r="Z51" s="8">
        <f t="shared" si="11"/>
        <v>33</v>
      </c>
      <c r="AA51" s="8">
        <f t="shared" si="12"/>
        <v>1</v>
      </c>
      <c r="AB51" s="8">
        <f t="shared" ref="AB51:AC51" si="113">ROUNDUP(V51/1000,0)</f>
        <v>1</v>
      </c>
      <c r="AC51" s="8">
        <f t="shared" si="113"/>
        <v>1</v>
      </c>
      <c r="AD51" s="8">
        <f t="shared" si="14"/>
        <v>99</v>
      </c>
      <c r="AE51" s="8">
        <f t="shared" si="15"/>
        <v>1</v>
      </c>
    </row>
    <row r="52" ht="22.5" customHeight="1">
      <c r="A52" s="7" t="s">
        <v>102</v>
      </c>
      <c r="B52" s="7" t="s">
        <v>44</v>
      </c>
      <c r="C52" s="7">
        <f t="shared" si="3"/>
        <v>4</v>
      </c>
      <c r="D52" s="7">
        <v>649.34198</v>
      </c>
      <c r="E52" s="7">
        <v>100.0</v>
      </c>
      <c r="F52" s="7">
        <v>100.0</v>
      </c>
      <c r="G52" s="7">
        <v>0.0</v>
      </c>
      <c r="H52" s="7">
        <v>0.0</v>
      </c>
      <c r="I52" s="7">
        <v>0.0</v>
      </c>
      <c r="J52" s="7" t="s">
        <v>36</v>
      </c>
      <c r="K52" s="7" t="s">
        <v>36</v>
      </c>
      <c r="L52" s="7" t="s">
        <v>36</v>
      </c>
      <c r="M52" s="7" t="s">
        <v>36</v>
      </c>
      <c r="N52" s="7">
        <v>100.0</v>
      </c>
      <c r="O52" s="7">
        <v>0.0</v>
      </c>
      <c r="P52" s="7">
        <v>0.0</v>
      </c>
      <c r="Q52" s="7">
        <v>0.0</v>
      </c>
      <c r="R52" s="8">
        <f t="shared" si="4"/>
        <v>17</v>
      </c>
      <c r="S52" s="8">
        <f t="shared" si="60"/>
        <v>649341.98</v>
      </c>
      <c r="T52" s="8">
        <f t="shared" si="61"/>
        <v>649341.98</v>
      </c>
      <c r="U52" s="8">
        <f t="shared" si="7"/>
        <v>0</v>
      </c>
      <c r="V52" s="8">
        <f t="shared" ref="V52:W52" si="114">T52/1000</f>
        <v>649.34198</v>
      </c>
      <c r="W52" s="8">
        <f t="shared" si="114"/>
        <v>0</v>
      </c>
      <c r="X52" s="8">
        <f t="shared" si="9"/>
        <v>0</v>
      </c>
      <c r="Y52" s="8">
        <f t="shared" si="10"/>
        <v>100</v>
      </c>
      <c r="Z52" s="8">
        <f t="shared" si="11"/>
        <v>0</v>
      </c>
      <c r="AA52" s="8">
        <f t="shared" si="12"/>
        <v>1</v>
      </c>
      <c r="AB52" s="8">
        <f t="shared" ref="AB52:AC52" si="115">ROUNDUP(V52/1000,0)</f>
        <v>1</v>
      </c>
      <c r="AC52" s="8">
        <f t="shared" si="115"/>
        <v>0</v>
      </c>
      <c r="AD52" s="8">
        <f t="shared" si="14"/>
        <v>100</v>
      </c>
      <c r="AE52" s="8">
        <f t="shared" si="15"/>
        <v>1</v>
      </c>
    </row>
    <row r="53" ht="22.5" customHeight="1">
      <c r="A53" s="7" t="s">
        <v>103</v>
      </c>
      <c r="B53" s="7" t="s">
        <v>67</v>
      </c>
      <c r="C53" s="7">
        <f t="shared" si="3"/>
        <v>2</v>
      </c>
      <c r="D53" s="7">
        <v>686.8779907</v>
      </c>
      <c r="E53" s="7">
        <v>24.67000008</v>
      </c>
      <c r="F53" s="7">
        <v>67.30102554</v>
      </c>
      <c r="G53" s="7">
        <v>5.79547831</v>
      </c>
      <c r="H53" s="7">
        <v>21.26784313</v>
      </c>
      <c r="I53" s="7">
        <v>5.635653025</v>
      </c>
      <c r="J53" s="7">
        <v>59.40526749</v>
      </c>
      <c r="K53" s="7">
        <v>6.528523649</v>
      </c>
      <c r="L53" s="7">
        <v>26.955911</v>
      </c>
      <c r="M53" s="7">
        <v>7.110297857</v>
      </c>
      <c r="N53" s="7">
        <v>91.41077689</v>
      </c>
      <c r="O53" s="7">
        <v>3.557120425</v>
      </c>
      <c r="P53" s="7">
        <v>3.899286137</v>
      </c>
      <c r="Q53" s="7">
        <v>1.132816553</v>
      </c>
      <c r="R53" s="8">
        <f t="shared" si="4"/>
        <v>17</v>
      </c>
      <c r="S53" s="8">
        <f t="shared" si="60"/>
        <v>686877.9907</v>
      </c>
      <c r="T53" s="8">
        <f t="shared" si="61"/>
        <v>169452.8009</v>
      </c>
      <c r="U53" s="8">
        <f t="shared" si="7"/>
        <v>517425.1898</v>
      </c>
      <c r="V53" s="8">
        <f t="shared" ref="V53:W53" si="116">T53/1000</f>
        <v>169.4528009</v>
      </c>
      <c r="W53" s="8">
        <f t="shared" si="116"/>
        <v>517.4251898</v>
      </c>
      <c r="X53" s="8">
        <f t="shared" si="9"/>
        <v>75.32999992</v>
      </c>
      <c r="Y53" s="8">
        <f t="shared" si="10"/>
        <v>25</v>
      </c>
      <c r="Z53" s="8">
        <f t="shared" si="11"/>
        <v>76</v>
      </c>
      <c r="AA53" s="8">
        <f t="shared" si="12"/>
        <v>1</v>
      </c>
      <c r="AB53" s="8">
        <f t="shared" ref="AB53:AC53" si="117">ROUNDUP(V53/1000,0)</f>
        <v>1</v>
      </c>
      <c r="AC53" s="8">
        <f t="shared" si="117"/>
        <v>1</v>
      </c>
      <c r="AD53" s="8">
        <f t="shared" si="14"/>
        <v>67</v>
      </c>
      <c r="AE53" s="8">
        <f t="shared" si="15"/>
        <v>1</v>
      </c>
    </row>
    <row r="54" ht="22.5" customHeight="1">
      <c r="A54" s="7" t="s">
        <v>104</v>
      </c>
      <c r="B54" s="7" t="s">
        <v>67</v>
      </c>
      <c r="C54" s="7">
        <f t="shared" si="3"/>
        <v>2</v>
      </c>
      <c r="D54" s="7">
        <v>771.6119995</v>
      </c>
      <c r="E54" s="7">
        <v>42.31599808</v>
      </c>
      <c r="F54" s="7">
        <v>97.31322263</v>
      </c>
      <c r="G54" s="7">
        <v>2.460712607</v>
      </c>
      <c r="H54" s="7">
        <v>0.1764242183</v>
      </c>
      <c r="I54" s="7">
        <v>0.04964054142</v>
      </c>
      <c r="J54" s="7">
        <v>96.73119365</v>
      </c>
      <c r="K54" s="7">
        <v>3.268806351</v>
      </c>
      <c r="L54" s="7">
        <v>0.0</v>
      </c>
      <c r="M54" s="7">
        <v>0.0</v>
      </c>
      <c r="N54" s="7">
        <v>98.10662849</v>
      </c>
      <c r="O54" s="7">
        <v>1.3591415</v>
      </c>
      <c r="P54" s="7">
        <v>0.4169208475</v>
      </c>
      <c r="Q54" s="7">
        <v>0.1173091586</v>
      </c>
      <c r="R54" s="8">
        <f t="shared" si="4"/>
        <v>17</v>
      </c>
      <c r="S54" s="8">
        <f t="shared" si="60"/>
        <v>771611.9995</v>
      </c>
      <c r="T54" s="8">
        <f t="shared" si="61"/>
        <v>326515.3189</v>
      </c>
      <c r="U54" s="8">
        <f t="shared" si="7"/>
        <v>445096.6806</v>
      </c>
      <c r="V54" s="8">
        <f t="shared" ref="V54:W54" si="118">T54/1000</f>
        <v>326.5153189</v>
      </c>
      <c r="W54" s="8">
        <f t="shared" si="118"/>
        <v>445.0966806</v>
      </c>
      <c r="X54" s="8">
        <f t="shared" si="9"/>
        <v>57.68400192</v>
      </c>
      <c r="Y54" s="8">
        <f t="shared" si="10"/>
        <v>43</v>
      </c>
      <c r="Z54" s="8">
        <f t="shared" si="11"/>
        <v>58</v>
      </c>
      <c r="AA54" s="8">
        <f t="shared" si="12"/>
        <v>1</v>
      </c>
      <c r="AB54" s="8">
        <f t="shared" ref="AB54:AC54" si="119">ROUNDUP(V54/1000,0)</f>
        <v>1</v>
      </c>
      <c r="AC54" s="8">
        <f t="shared" si="119"/>
        <v>1</v>
      </c>
      <c r="AD54" s="8">
        <f t="shared" si="14"/>
        <v>97</v>
      </c>
      <c r="AE54" s="8">
        <f t="shared" si="15"/>
        <v>1</v>
      </c>
    </row>
    <row r="55" ht="22.5" customHeight="1">
      <c r="A55" s="7" t="s">
        <v>105</v>
      </c>
      <c r="B55" s="7" t="s">
        <v>47</v>
      </c>
      <c r="C55" s="7">
        <f t="shared" si="3"/>
        <v>3</v>
      </c>
      <c r="D55" s="7">
        <v>786.559021</v>
      </c>
      <c r="E55" s="7">
        <v>26.7859993</v>
      </c>
      <c r="F55" s="7">
        <v>95.55480685</v>
      </c>
      <c r="G55" s="7">
        <v>1.205244408</v>
      </c>
      <c r="H55" s="7">
        <v>1.143069849</v>
      </c>
      <c r="I55" s="7">
        <v>2.096878897</v>
      </c>
      <c r="J55" s="7">
        <v>93.9284905</v>
      </c>
      <c r="K55" s="7">
        <v>1.646193862</v>
      </c>
      <c r="L55" s="7">
        <v>1.561274833</v>
      </c>
      <c r="M55" s="7">
        <v>2.864040809</v>
      </c>
      <c r="N55" s="7">
        <v>100.0</v>
      </c>
      <c r="O55" s="7">
        <v>0.0</v>
      </c>
      <c r="P55" s="7">
        <v>0.0</v>
      </c>
      <c r="Q55" s="7">
        <v>0.0</v>
      </c>
      <c r="R55" s="8">
        <f t="shared" si="4"/>
        <v>17</v>
      </c>
      <c r="S55" s="8">
        <f t="shared" si="60"/>
        <v>786559.021</v>
      </c>
      <c r="T55" s="8">
        <f t="shared" si="61"/>
        <v>210687.6939</v>
      </c>
      <c r="U55" s="8">
        <f t="shared" si="7"/>
        <v>575871.3271</v>
      </c>
      <c r="V55" s="8">
        <f t="shared" ref="V55:W55" si="120">T55/1000</f>
        <v>210.6876939</v>
      </c>
      <c r="W55" s="8">
        <f t="shared" si="120"/>
        <v>575.8713271</v>
      </c>
      <c r="X55" s="8">
        <f t="shared" si="9"/>
        <v>73.2140007</v>
      </c>
      <c r="Y55" s="8">
        <f t="shared" si="10"/>
        <v>27</v>
      </c>
      <c r="Z55" s="8">
        <f t="shared" si="11"/>
        <v>74</v>
      </c>
      <c r="AA55" s="8">
        <f t="shared" si="12"/>
        <v>1</v>
      </c>
      <c r="AB55" s="8">
        <f t="shared" ref="AB55:AC55" si="121">ROUNDUP(V55/1000,0)</f>
        <v>1</v>
      </c>
      <c r="AC55" s="8">
        <f t="shared" si="121"/>
        <v>1</v>
      </c>
      <c r="AD55" s="8">
        <f t="shared" si="14"/>
        <v>96</v>
      </c>
      <c r="AE55" s="8">
        <f t="shared" si="15"/>
        <v>1</v>
      </c>
    </row>
    <row r="56" ht="22.5" customHeight="1">
      <c r="A56" s="7" t="s">
        <v>106</v>
      </c>
      <c r="B56" s="7" t="s">
        <v>36</v>
      </c>
      <c r="C56" s="7">
        <f t="shared" si="3"/>
        <v>0</v>
      </c>
      <c r="D56" s="7">
        <v>895.3079834</v>
      </c>
      <c r="E56" s="7">
        <v>99.65900421</v>
      </c>
      <c r="F56" s="7">
        <v>100.0</v>
      </c>
      <c r="G56" s="7">
        <v>0.0</v>
      </c>
      <c r="H56" s="7">
        <v>0.0</v>
      </c>
      <c r="I56" s="7">
        <v>0.0</v>
      </c>
      <c r="J56" s="7" t="s">
        <v>36</v>
      </c>
      <c r="K56" s="7" t="s">
        <v>36</v>
      </c>
      <c r="L56" s="7" t="s">
        <v>36</v>
      </c>
      <c r="M56" s="7" t="s">
        <v>36</v>
      </c>
      <c r="N56" s="7" t="s">
        <v>36</v>
      </c>
      <c r="O56" s="7" t="s">
        <v>36</v>
      </c>
      <c r="P56" s="7" t="s">
        <v>36</v>
      </c>
      <c r="Q56" s="7" t="s">
        <v>36</v>
      </c>
      <c r="R56" s="8">
        <f t="shared" si="4"/>
        <v>17</v>
      </c>
      <c r="S56" s="8">
        <f t="shared" si="60"/>
        <v>895307.9834</v>
      </c>
      <c r="T56" s="8">
        <f t="shared" si="61"/>
        <v>892255.0209</v>
      </c>
      <c r="U56" s="8">
        <f t="shared" si="7"/>
        <v>3052.962531</v>
      </c>
      <c r="V56" s="8">
        <f t="shared" ref="V56:W56" si="122">T56/1000</f>
        <v>892.2550209</v>
      </c>
      <c r="W56" s="8">
        <f t="shared" si="122"/>
        <v>3.052962531</v>
      </c>
      <c r="X56" s="8">
        <f t="shared" si="9"/>
        <v>0.34099579</v>
      </c>
      <c r="Y56" s="8">
        <f t="shared" si="10"/>
        <v>100</v>
      </c>
      <c r="Z56" s="8">
        <f t="shared" si="11"/>
        <v>1</v>
      </c>
      <c r="AA56" s="8">
        <f t="shared" si="12"/>
        <v>1</v>
      </c>
      <c r="AB56" s="8">
        <f t="shared" ref="AB56:AC56" si="123">ROUNDUP(V56/1000,0)</f>
        <v>1</v>
      </c>
      <c r="AC56" s="8">
        <f t="shared" si="123"/>
        <v>1</v>
      </c>
      <c r="AD56" s="8">
        <f t="shared" si="14"/>
        <v>100</v>
      </c>
      <c r="AE56" s="8">
        <f t="shared" si="15"/>
        <v>1</v>
      </c>
    </row>
    <row r="57" ht="22.5" customHeight="1">
      <c r="A57" s="7" t="s">
        <v>107</v>
      </c>
      <c r="B57" s="7" t="s">
        <v>47</v>
      </c>
      <c r="C57" s="7">
        <f t="shared" si="3"/>
        <v>3</v>
      </c>
      <c r="D57" s="7">
        <v>896.4439697</v>
      </c>
      <c r="E57" s="7">
        <v>57.24700546</v>
      </c>
      <c r="F57" s="7">
        <v>94.30106524</v>
      </c>
      <c r="G57" s="7">
        <v>0.0</v>
      </c>
      <c r="H57" s="7">
        <v>3.318602766</v>
      </c>
      <c r="I57" s="7">
        <v>2.380331999</v>
      </c>
      <c r="J57" s="7">
        <v>89.08802405</v>
      </c>
      <c r="K57" s="7">
        <v>0.0</v>
      </c>
      <c r="L57" s="7">
        <v>5.759897938</v>
      </c>
      <c r="M57" s="7">
        <v>5.152078012</v>
      </c>
      <c r="N57" s="7">
        <v>98.19424406</v>
      </c>
      <c r="O57" s="7">
        <v>0.0</v>
      </c>
      <c r="P57" s="7">
        <v>1.495409344</v>
      </c>
      <c r="Q57" s="7">
        <v>0.3103465922</v>
      </c>
      <c r="R57" s="8">
        <f t="shared" si="4"/>
        <v>17</v>
      </c>
      <c r="S57" s="8">
        <f t="shared" si="60"/>
        <v>896443.9697</v>
      </c>
      <c r="T57" s="8">
        <f t="shared" si="61"/>
        <v>513187.3283</v>
      </c>
      <c r="U57" s="8">
        <f t="shared" si="7"/>
        <v>383256.6414</v>
      </c>
      <c r="V57" s="8">
        <f t="shared" ref="V57:W57" si="124">T57/1000</f>
        <v>513.1873283</v>
      </c>
      <c r="W57" s="8">
        <f t="shared" si="124"/>
        <v>383.2566414</v>
      </c>
      <c r="X57" s="8">
        <f t="shared" si="9"/>
        <v>42.75299454</v>
      </c>
      <c r="Y57" s="8">
        <f t="shared" si="10"/>
        <v>58</v>
      </c>
      <c r="Z57" s="8">
        <f t="shared" si="11"/>
        <v>43</v>
      </c>
      <c r="AA57" s="8">
        <f t="shared" si="12"/>
        <v>1</v>
      </c>
      <c r="AB57" s="8">
        <f t="shared" ref="AB57:AC57" si="125">ROUNDUP(V57/1000,0)</f>
        <v>1</v>
      </c>
      <c r="AC57" s="8">
        <f t="shared" si="125"/>
        <v>1</v>
      </c>
      <c r="AD57" s="8">
        <f t="shared" si="14"/>
        <v>94</v>
      </c>
      <c r="AE57" s="8">
        <f t="shared" si="15"/>
        <v>1</v>
      </c>
    </row>
    <row r="58" ht="22.5" customHeight="1">
      <c r="A58" s="7" t="s">
        <v>108</v>
      </c>
      <c r="B58" s="7" t="s">
        <v>67</v>
      </c>
      <c r="C58" s="7">
        <f t="shared" si="3"/>
        <v>2</v>
      </c>
      <c r="D58" s="7">
        <v>988.0020142</v>
      </c>
      <c r="E58" s="7">
        <v>78.06199646</v>
      </c>
      <c r="F58" s="7">
        <v>76.04992021</v>
      </c>
      <c r="G58" s="7">
        <v>14.7574817</v>
      </c>
      <c r="H58" s="7">
        <v>7.015876051</v>
      </c>
      <c r="I58" s="7">
        <v>2.176722038</v>
      </c>
      <c r="J58" s="7">
        <v>47.28073293</v>
      </c>
      <c r="K58" s="7">
        <v>12.06161014</v>
      </c>
      <c r="L58" s="7">
        <v>30.73550468</v>
      </c>
      <c r="M58" s="7">
        <v>9.922152249</v>
      </c>
      <c r="N58" s="7">
        <v>84.13501493</v>
      </c>
      <c r="O58" s="7">
        <v>15.51511107</v>
      </c>
      <c r="P58" s="7">
        <v>0.3498740029</v>
      </c>
      <c r="Q58" s="7">
        <v>0.0</v>
      </c>
      <c r="R58" s="8">
        <f t="shared" si="4"/>
        <v>17</v>
      </c>
      <c r="S58" s="8">
        <f t="shared" si="60"/>
        <v>988002.0142</v>
      </c>
      <c r="T58" s="8">
        <f t="shared" si="61"/>
        <v>771254.0973</v>
      </c>
      <c r="U58" s="8">
        <f t="shared" si="7"/>
        <v>216747.9169</v>
      </c>
      <c r="V58" s="8">
        <f t="shared" ref="V58:W58" si="126">T58/1000</f>
        <v>771.2540973</v>
      </c>
      <c r="W58" s="8">
        <f t="shared" si="126"/>
        <v>216.7479169</v>
      </c>
      <c r="X58" s="8">
        <f t="shared" si="9"/>
        <v>21.93800354</v>
      </c>
      <c r="Y58" s="8">
        <f t="shared" si="10"/>
        <v>79</v>
      </c>
      <c r="Z58" s="8">
        <f t="shared" si="11"/>
        <v>22</v>
      </c>
      <c r="AA58" s="8">
        <f t="shared" si="12"/>
        <v>1</v>
      </c>
      <c r="AB58" s="8">
        <f t="shared" ref="AB58:AC58" si="127">ROUNDUP(V58/1000,0)</f>
        <v>1</v>
      </c>
      <c r="AC58" s="8">
        <f t="shared" si="127"/>
        <v>1</v>
      </c>
      <c r="AD58" s="8">
        <f t="shared" si="14"/>
        <v>76</v>
      </c>
      <c r="AE58" s="8">
        <f t="shared" si="15"/>
        <v>1</v>
      </c>
    </row>
    <row r="59" ht="22.5" customHeight="1">
      <c r="A59" s="7" t="s">
        <v>109</v>
      </c>
      <c r="B59" s="7" t="s">
        <v>67</v>
      </c>
      <c r="C59" s="7">
        <f t="shared" si="3"/>
        <v>2</v>
      </c>
      <c r="D59" s="7">
        <v>1160.16394</v>
      </c>
      <c r="E59" s="7">
        <v>24.17100143</v>
      </c>
      <c r="F59" s="7">
        <v>70.75307095</v>
      </c>
      <c r="G59" s="7">
        <v>9.507067163</v>
      </c>
      <c r="H59" s="7">
        <v>9.835567931</v>
      </c>
      <c r="I59" s="7">
        <v>9.904293959</v>
      </c>
      <c r="J59" s="7">
        <v>62.46644874</v>
      </c>
      <c r="K59" s="7">
        <v>12.29969513</v>
      </c>
      <c r="L59" s="7">
        <v>12.45046093</v>
      </c>
      <c r="M59" s="7">
        <v>12.78339519</v>
      </c>
      <c r="N59" s="7">
        <v>96.74976305</v>
      </c>
      <c r="O59" s="7">
        <v>0.7460644731</v>
      </c>
      <c r="P59" s="7">
        <v>1.632164244</v>
      </c>
      <c r="Q59" s="7">
        <v>0.8720082294</v>
      </c>
      <c r="R59" s="8">
        <f t="shared" si="4"/>
        <v>17</v>
      </c>
      <c r="S59" s="8">
        <f t="shared" si="60"/>
        <v>1160163.94</v>
      </c>
      <c r="T59" s="8">
        <f t="shared" si="61"/>
        <v>280423.2425</v>
      </c>
      <c r="U59" s="8">
        <f t="shared" si="7"/>
        <v>879740.6975</v>
      </c>
      <c r="V59" s="8">
        <f t="shared" ref="V59:W59" si="128">T59/1000</f>
        <v>280.4232425</v>
      </c>
      <c r="W59" s="8">
        <f t="shared" si="128"/>
        <v>879.7406975</v>
      </c>
      <c r="X59" s="8">
        <f t="shared" si="9"/>
        <v>75.82899857</v>
      </c>
      <c r="Y59" s="8">
        <f t="shared" si="10"/>
        <v>25</v>
      </c>
      <c r="Z59" s="8">
        <f t="shared" si="11"/>
        <v>76</v>
      </c>
      <c r="AA59" s="8">
        <f t="shared" si="12"/>
        <v>2</v>
      </c>
      <c r="AB59" s="8">
        <f t="shared" ref="AB59:AC59" si="129">ROUNDUP(V59/1000,0)</f>
        <v>1</v>
      </c>
      <c r="AC59" s="8">
        <f t="shared" si="129"/>
        <v>1</v>
      </c>
      <c r="AD59" s="8">
        <f t="shared" si="14"/>
        <v>71</v>
      </c>
      <c r="AE59" s="8">
        <f t="shared" si="15"/>
        <v>1</v>
      </c>
    </row>
    <row r="60" ht="22.5" customHeight="1">
      <c r="A60" s="7" t="s">
        <v>110</v>
      </c>
      <c r="B60" s="7" t="s">
        <v>44</v>
      </c>
      <c r="C60" s="7">
        <f t="shared" si="3"/>
        <v>4</v>
      </c>
      <c r="D60" s="7">
        <v>1207.360962</v>
      </c>
      <c r="E60" s="7">
        <v>66.82099915</v>
      </c>
      <c r="F60" s="7">
        <v>99.76517318</v>
      </c>
      <c r="G60" s="7">
        <v>0.0</v>
      </c>
      <c r="H60" s="7">
        <v>0.2348268167</v>
      </c>
      <c r="I60" s="7">
        <v>0.0</v>
      </c>
      <c r="J60" s="7">
        <v>99.84576172</v>
      </c>
      <c r="K60" s="7">
        <v>0.0</v>
      </c>
      <c r="L60" s="7">
        <v>0.1542382836</v>
      </c>
      <c r="M60" s="7">
        <v>0.0</v>
      </c>
      <c r="N60" s="7">
        <v>99.72515812</v>
      </c>
      <c r="O60" s="7">
        <v>0.0</v>
      </c>
      <c r="P60" s="7">
        <v>0.2748418825</v>
      </c>
      <c r="Q60" s="7">
        <v>0.0</v>
      </c>
      <c r="R60" s="8">
        <f t="shared" si="4"/>
        <v>17</v>
      </c>
      <c r="S60" s="8">
        <f t="shared" si="60"/>
        <v>1207360.962</v>
      </c>
      <c r="T60" s="8">
        <f t="shared" si="61"/>
        <v>806770.6582</v>
      </c>
      <c r="U60" s="8">
        <f t="shared" si="7"/>
        <v>400590.3038</v>
      </c>
      <c r="V60" s="8">
        <f t="shared" ref="V60:W60" si="130">T60/1000</f>
        <v>806.7706582</v>
      </c>
      <c r="W60" s="8">
        <f t="shared" si="130"/>
        <v>400.5903038</v>
      </c>
      <c r="X60" s="8">
        <f t="shared" si="9"/>
        <v>33.17900085</v>
      </c>
      <c r="Y60" s="8">
        <f t="shared" si="10"/>
        <v>67</v>
      </c>
      <c r="Z60" s="8">
        <f t="shared" si="11"/>
        <v>34</v>
      </c>
      <c r="AA60" s="8">
        <f t="shared" si="12"/>
        <v>2</v>
      </c>
      <c r="AB60" s="8">
        <f t="shared" ref="AB60:AC60" si="131">ROUNDUP(V60/1000,0)</f>
        <v>1</v>
      </c>
      <c r="AC60" s="8">
        <f t="shared" si="131"/>
        <v>1</v>
      </c>
      <c r="AD60" s="8">
        <f t="shared" si="14"/>
        <v>100</v>
      </c>
      <c r="AE60" s="8">
        <f t="shared" si="15"/>
        <v>1</v>
      </c>
    </row>
    <row r="61" ht="22.5" customHeight="1">
      <c r="A61" s="7" t="s">
        <v>111</v>
      </c>
      <c r="B61" s="7" t="s">
        <v>47</v>
      </c>
      <c r="C61" s="7">
        <f t="shared" si="3"/>
        <v>3</v>
      </c>
      <c r="D61" s="7">
        <v>1271.766968</v>
      </c>
      <c r="E61" s="7">
        <v>40.75999832</v>
      </c>
      <c r="F61" s="7">
        <v>99.8662547</v>
      </c>
      <c r="G61" s="7">
        <v>0.0</v>
      </c>
      <c r="H61" s="7">
        <v>0.1337453014</v>
      </c>
      <c r="I61" s="7">
        <v>0.0</v>
      </c>
      <c r="J61" s="7">
        <v>99.82768234</v>
      </c>
      <c r="K61" s="7">
        <v>0.0</v>
      </c>
      <c r="L61" s="7">
        <v>0.1723176618</v>
      </c>
      <c r="M61" s="7">
        <v>0.0</v>
      </c>
      <c r="N61" s="7">
        <v>99.92231522</v>
      </c>
      <c r="O61" s="7">
        <v>0.0</v>
      </c>
      <c r="P61" s="7">
        <v>0.07768478119</v>
      </c>
      <c r="Q61" s="7">
        <v>0.0</v>
      </c>
      <c r="R61" s="8">
        <f t="shared" si="4"/>
        <v>17</v>
      </c>
      <c r="S61" s="8">
        <f t="shared" si="60"/>
        <v>1271766.968</v>
      </c>
      <c r="T61" s="8">
        <f t="shared" si="61"/>
        <v>518372.1948</v>
      </c>
      <c r="U61" s="8">
        <f t="shared" si="7"/>
        <v>753394.7732</v>
      </c>
      <c r="V61" s="8">
        <f t="shared" ref="V61:W61" si="132">T61/1000</f>
        <v>518.3721948</v>
      </c>
      <c r="W61" s="8">
        <f t="shared" si="132"/>
        <v>753.3947732</v>
      </c>
      <c r="X61" s="8">
        <f t="shared" si="9"/>
        <v>59.24000168</v>
      </c>
      <c r="Y61" s="8">
        <f t="shared" si="10"/>
        <v>41</v>
      </c>
      <c r="Z61" s="8">
        <f t="shared" si="11"/>
        <v>60</v>
      </c>
      <c r="AA61" s="8">
        <f t="shared" si="12"/>
        <v>2</v>
      </c>
      <c r="AB61" s="8">
        <f t="shared" ref="AB61:AC61" si="133">ROUNDUP(V61/1000,0)</f>
        <v>1</v>
      </c>
      <c r="AC61" s="8">
        <f t="shared" si="133"/>
        <v>1</v>
      </c>
      <c r="AD61" s="8">
        <f t="shared" si="14"/>
        <v>100</v>
      </c>
      <c r="AE61" s="8">
        <f t="shared" si="15"/>
        <v>1</v>
      </c>
    </row>
    <row r="62" ht="22.5" customHeight="1">
      <c r="A62" s="7" t="s">
        <v>112</v>
      </c>
      <c r="B62" s="7" t="s">
        <v>67</v>
      </c>
      <c r="C62" s="7">
        <f t="shared" si="3"/>
        <v>2</v>
      </c>
      <c r="D62" s="7">
        <v>1318.442017</v>
      </c>
      <c r="E62" s="7">
        <v>31.31999969</v>
      </c>
      <c r="F62" s="7">
        <v>85.4956012</v>
      </c>
      <c r="G62" s="7">
        <v>1.88586597</v>
      </c>
      <c r="H62" s="7">
        <v>8.360029397</v>
      </c>
      <c r="I62" s="7">
        <v>4.258503433</v>
      </c>
      <c r="J62" s="7">
        <v>80.48779562</v>
      </c>
      <c r="K62" s="7">
        <v>2.049364675</v>
      </c>
      <c r="L62" s="7">
        <v>11.26233968</v>
      </c>
      <c r="M62" s="7">
        <v>6.200500018</v>
      </c>
      <c r="N62" s="7">
        <v>96.47695792</v>
      </c>
      <c r="O62" s="7">
        <v>1.527338152</v>
      </c>
      <c r="P62" s="7">
        <v>1.995703929</v>
      </c>
      <c r="Q62" s="7">
        <v>0.0</v>
      </c>
      <c r="R62" s="8">
        <f t="shared" si="4"/>
        <v>17</v>
      </c>
      <c r="S62" s="8">
        <f t="shared" si="60"/>
        <v>1318442.017</v>
      </c>
      <c r="T62" s="8">
        <f t="shared" si="61"/>
        <v>412936.0356</v>
      </c>
      <c r="U62" s="8">
        <f t="shared" si="7"/>
        <v>905505.9814</v>
      </c>
      <c r="V62" s="8">
        <f t="shared" ref="V62:W62" si="134">T62/1000</f>
        <v>412.9360356</v>
      </c>
      <c r="W62" s="8">
        <f t="shared" si="134"/>
        <v>905.5059814</v>
      </c>
      <c r="X62" s="8">
        <f t="shared" si="9"/>
        <v>68.68000031</v>
      </c>
      <c r="Y62" s="8">
        <f t="shared" si="10"/>
        <v>32</v>
      </c>
      <c r="Z62" s="8">
        <f t="shared" si="11"/>
        <v>69</v>
      </c>
      <c r="AA62" s="8">
        <f t="shared" si="12"/>
        <v>2</v>
      </c>
      <c r="AB62" s="8">
        <f t="shared" ref="AB62:AC62" si="135">ROUNDUP(V62/1000,0)</f>
        <v>1</v>
      </c>
      <c r="AC62" s="8">
        <f t="shared" si="135"/>
        <v>1</v>
      </c>
      <c r="AD62" s="8">
        <f t="shared" si="14"/>
        <v>85</v>
      </c>
      <c r="AE62" s="8">
        <f t="shared" si="15"/>
        <v>1</v>
      </c>
    </row>
    <row r="63" ht="22.5" customHeight="1">
      <c r="A63" s="7" t="s">
        <v>113</v>
      </c>
      <c r="B63" s="7" t="s">
        <v>44</v>
      </c>
      <c r="C63" s="7">
        <f t="shared" si="3"/>
        <v>4</v>
      </c>
      <c r="D63" s="7">
        <v>1326.53894</v>
      </c>
      <c r="E63" s="7">
        <v>69.22900391</v>
      </c>
      <c r="F63" s="7">
        <v>99.59078178</v>
      </c>
      <c r="G63" s="7">
        <v>0.0</v>
      </c>
      <c r="H63" s="7">
        <v>0.4092182232</v>
      </c>
      <c r="I63" s="7">
        <v>0.0</v>
      </c>
      <c r="J63" s="7" t="s">
        <v>36</v>
      </c>
      <c r="K63" s="7" t="s">
        <v>36</v>
      </c>
      <c r="L63" s="7" t="s">
        <v>36</v>
      </c>
      <c r="M63" s="7" t="s">
        <v>36</v>
      </c>
      <c r="N63" s="7">
        <v>99.98545421</v>
      </c>
      <c r="O63" s="7">
        <v>0.0</v>
      </c>
      <c r="P63" s="7">
        <v>0.01454579307</v>
      </c>
      <c r="Q63" s="7">
        <v>0.0</v>
      </c>
      <c r="R63" s="8">
        <f t="shared" si="4"/>
        <v>17</v>
      </c>
      <c r="S63" s="8">
        <f t="shared" si="60"/>
        <v>1326538.94</v>
      </c>
      <c r="T63" s="8">
        <f t="shared" si="61"/>
        <v>918349.6946</v>
      </c>
      <c r="U63" s="8">
        <f t="shared" si="7"/>
        <v>408189.2454</v>
      </c>
      <c r="V63" s="8">
        <f t="shared" ref="V63:W63" si="136">T63/1000</f>
        <v>918.3496946</v>
      </c>
      <c r="W63" s="8">
        <f t="shared" si="136"/>
        <v>408.1892454</v>
      </c>
      <c r="X63" s="8">
        <f t="shared" si="9"/>
        <v>30.77099609</v>
      </c>
      <c r="Y63" s="8">
        <f t="shared" si="10"/>
        <v>70</v>
      </c>
      <c r="Z63" s="8">
        <f t="shared" si="11"/>
        <v>31</v>
      </c>
      <c r="AA63" s="8">
        <f t="shared" si="12"/>
        <v>2</v>
      </c>
      <c r="AB63" s="8">
        <f t="shared" ref="AB63:AC63" si="137">ROUNDUP(V63/1000,0)</f>
        <v>1</v>
      </c>
      <c r="AC63" s="8">
        <f t="shared" si="137"/>
        <v>1</v>
      </c>
      <c r="AD63" s="8">
        <f t="shared" si="14"/>
        <v>100</v>
      </c>
      <c r="AE63" s="8">
        <f t="shared" si="15"/>
        <v>1</v>
      </c>
    </row>
    <row r="64" ht="22.5" customHeight="1">
      <c r="A64" s="7" t="s">
        <v>114</v>
      </c>
      <c r="B64" s="7" t="s">
        <v>44</v>
      </c>
      <c r="C64" s="7">
        <f t="shared" si="3"/>
        <v>4</v>
      </c>
      <c r="D64" s="7">
        <v>1399.490967</v>
      </c>
      <c r="E64" s="7">
        <v>53.2140007</v>
      </c>
      <c r="F64" s="7">
        <v>98.87517077</v>
      </c>
      <c r="G64" s="7">
        <v>1.124829231</v>
      </c>
      <c r="H64" s="7">
        <v>0.0</v>
      </c>
      <c r="I64" s="7">
        <v>0.0</v>
      </c>
      <c r="J64" s="7" t="s">
        <v>36</v>
      </c>
      <c r="K64" s="7" t="s">
        <v>36</v>
      </c>
      <c r="L64" s="7" t="s">
        <v>36</v>
      </c>
      <c r="M64" s="7" t="s">
        <v>36</v>
      </c>
      <c r="N64" s="7" t="s">
        <v>36</v>
      </c>
      <c r="O64" s="7" t="s">
        <v>36</v>
      </c>
      <c r="P64" s="7" t="s">
        <v>36</v>
      </c>
      <c r="Q64" s="7" t="s">
        <v>36</v>
      </c>
      <c r="R64" s="8">
        <f t="shared" si="4"/>
        <v>17</v>
      </c>
      <c r="S64" s="8">
        <f t="shared" si="60"/>
        <v>1399490.967</v>
      </c>
      <c r="T64" s="8">
        <f t="shared" si="61"/>
        <v>744725.133</v>
      </c>
      <c r="U64" s="8">
        <f t="shared" si="7"/>
        <v>654765.834</v>
      </c>
      <c r="V64" s="8">
        <f t="shared" ref="V64:W64" si="138">T64/1000</f>
        <v>744.725133</v>
      </c>
      <c r="W64" s="8">
        <f t="shared" si="138"/>
        <v>654.765834</v>
      </c>
      <c r="X64" s="8">
        <f t="shared" si="9"/>
        <v>46.7859993</v>
      </c>
      <c r="Y64" s="8">
        <f t="shared" si="10"/>
        <v>54</v>
      </c>
      <c r="Z64" s="8">
        <f t="shared" si="11"/>
        <v>47</v>
      </c>
      <c r="AA64" s="8">
        <f t="shared" si="12"/>
        <v>2</v>
      </c>
      <c r="AB64" s="8">
        <f t="shared" ref="AB64:AC64" si="139">ROUNDUP(V64/1000,0)</f>
        <v>1</v>
      </c>
      <c r="AC64" s="8">
        <f t="shared" si="139"/>
        <v>1</v>
      </c>
      <c r="AD64" s="8">
        <f t="shared" si="14"/>
        <v>99</v>
      </c>
      <c r="AE64" s="8">
        <f t="shared" si="15"/>
        <v>1</v>
      </c>
    </row>
    <row r="65" ht="22.5" customHeight="1">
      <c r="A65" s="7" t="s">
        <v>115</v>
      </c>
      <c r="B65" s="7" t="s">
        <v>44</v>
      </c>
      <c r="C65" s="7">
        <f t="shared" si="3"/>
        <v>4</v>
      </c>
      <c r="D65" s="7">
        <v>1701.583008</v>
      </c>
      <c r="E65" s="7">
        <v>89.50600433</v>
      </c>
      <c r="F65" s="7">
        <v>100.0</v>
      </c>
      <c r="G65" s="7">
        <v>0.0</v>
      </c>
      <c r="H65" s="7">
        <v>0.0</v>
      </c>
      <c r="I65" s="7">
        <v>0.0</v>
      </c>
      <c r="J65" s="7" t="s">
        <v>36</v>
      </c>
      <c r="K65" s="7" t="s">
        <v>36</v>
      </c>
      <c r="L65" s="7" t="s">
        <v>36</v>
      </c>
      <c r="M65" s="7" t="s">
        <v>36</v>
      </c>
      <c r="N65" s="7" t="s">
        <v>36</v>
      </c>
      <c r="O65" s="7" t="s">
        <v>36</v>
      </c>
      <c r="P65" s="7" t="s">
        <v>36</v>
      </c>
      <c r="Q65" s="7" t="s">
        <v>36</v>
      </c>
      <c r="R65" s="8">
        <f t="shared" si="4"/>
        <v>17</v>
      </c>
      <c r="S65" s="8">
        <f t="shared" si="60"/>
        <v>1701583.008</v>
      </c>
      <c r="T65" s="8">
        <f t="shared" si="61"/>
        <v>1523018.961</v>
      </c>
      <c r="U65" s="8">
        <f t="shared" si="7"/>
        <v>178564.0472</v>
      </c>
      <c r="V65" s="8">
        <f t="shared" ref="V65:W65" si="140">T65/1000</f>
        <v>1523.018961</v>
      </c>
      <c r="W65" s="8">
        <f t="shared" si="140"/>
        <v>178.5640472</v>
      </c>
      <c r="X65" s="8">
        <f t="shared" si="9"/>
        <v>10.49399567</v>
      </c>
      <c r="Y65" s="8">
        <f t="shared" si="10"/>
        <v>90</v>
      </c>
      <c r="Z65" s="8">
        <f t="shared" si="11"/>
        <v>11</v>
      </c>
      <c r="AA65" s="8">
        <f t="shared" si="12"/>
        <v>2</v>
      </c>
      <c r="AB65" s="8">
        <f t="shared" ref="AB65:AC65" si="141">ROUNDUP(V65/1000,0)</f>
        <v>2</v>
      </c>
      <c r="AC65" s="8">
        <f t="shared" si="141"/>
        <v>1</v>
      </c>
      <c r="AD65" s="8">
        <f t="shared" si="14"/>
        <v>100</v>
      </c>
      <c r="AE65" s="8">
        <f t="shared" si="15"/>
        <v>1</v>
      </c>
    </row>
    <row r="66" ht="22.5" customHeight="1">
      <c r="A66" s="7" t="s">
        <v>116</v>
      </c>
      <c r="B66" s="7" t="s">
        <v>44</v>
      </c>
      <c r="C66" s="7">
        <f t="shared" si="3"/>
        <v>4</v>
      </c>
      <c r="D66" s="7">
        <v>1886.202026</v>
      </c>
      <c r="E66" s="7">
        <v>68.31500244</v>
      </c>
      <c r="F66" s="7">
        <v>98.78260115</v>
      </c>
      <c r="G66" s="7">
        <v>0.6823007424</v>
      </c>
      <c r="H66" s="7">
        <v>0.5350981037</v>
      </c>
      <c r="I66" s="7">
        <v>0.0</v>
      </c>
      <c r="J66" s="7">
        <v>98.57922314</v>
      </c>
      <c r="K66" s="7">
        <v>0.0</v>
      </c>
      <c r="L66" s="7">
        <v>1.42077686</v>
      </c>
      <c r="M66" s="7">
        <v>0.0</v>
      </c>
      <c r="N66" s="7">
        <v>98.87692469</v>
      </c>
      <c r="O66" s="7">
        <v>0.9987568151</v>
      </c>
      <c r="P66" s="7">
        <v>0.1243184908</v>
      </c>
      <c r="Q66" s="7">
        <v>0.0</v>
      </c>
      <c r="R66" s="8">
        <f t="shared" si="4"/>
        <v>17</v>
      </c>
      <c r="S66" s="8">
        <f t="shared" si="60"/>
        <v>1886202.026</v>
      </c>
      <c r="T66" s="8">
        <f t="shared" si="61"/>
        <v>1288558.96</v>
      </c>
      <c r="U66" s="8">
        <f t="shared" si="7"/>
        <v>597643.0659</v>
      </c>
      <c r="V66" s="8">
        <f t="shared" ref="V66:W66" si="142">T66/1000</f>
        <v>1288.55896</v>
      </c>
      <c r="W66" s="8">
        <f t="shared" si="142"/>
        <v>597.6430659</v>
      </c>
      <c r="X66" s="8">
        <f t="shared" si="9"/>
        <v>31.68499756</v>
      </c>
      <c r="Y66" s="8">
        <f t="shared" si="10"/>
        <v>69</v>
      </c>
      <c r="Z66" s="8">
        <f t="shared" si="11"/>
        <v>32</v>
      </c>
      <c r="AA66" s="8">
        <f t="shared" si="12"/>
        <v>2</v>
      </c>
      <c r="AB66" s="8">
        <f t="shared" ref="AB66:AC66" si="143">ROUNDUP(V66/1000,0)</f>
        <v>2</v>
      </c>
      <c r="AC66" s="8">
        <f t="shared" si="143"/>
        <v>1</v>
      </c>
      <c r="AD66" s="8">
        <f t="shared" si="14"/>
        <v>99</v>
      </c>
      <c r="AE66" s="8">
        <f t="shared" si="15"/>
        <v>1</v>
      </c>
    </row>
    <row r="67" ht="22.5" customHeight="1">
      <c r="A67" s="7" t="s">
        <v>117</v>
      </c>
      <c r="B67" s="7" t="s">
        <v>118</v>
      </c>
      <c r="C67" s="7">
        <f t="shared" si="3"/>
        <v>1</v>
      </c>
      <c r="D67" s="7">
        <v>1967.998047</v>
      </c>
      <c r="E67" s="7">
        <v>44.19599915</v>
      </c>
      <c r="F67" s="7">
        <v>59.01691221</v>
      </c>
      <c r="G67" s="7">
        <v>14.03457137</v>
      </c>
      <c r="H67" s="7">
        <v>26.6263769</v>
      </c>
      <c r="I67" s="7">
        <v>0.3221395192</v>
      </c>
      <c r="J67" s="7">
        <v>49.8319053</v>
      </c>
      <c r="K67" s="7">
        <v>9.285773026</v>
      </c>
      <c r="L67" s="7">
        <v>40.31645129</v>
      </c>
      <c r="M67" s="7">
        <v>0.5658703845</v>
      </c>
      <c r="N67" s="7">
        <v>70.61434791</v>
      </c>
      <c r="O67" s="7">
        <v>20.03063358</v>
      </c>
      <c r="P67" s="7">
        <v>9.340625284</v>
      </c>
      <c r="Q67" s="7">
        <v>0.01439322693</v>
      </c>
      <c r="R67" s="8">
        <f t="shared" si="4"/>
        <v>17</v>
      </c>
      <c r="S67" s="8">
        <f t="shared" si="60"/>
        <v>1967998.047</v>
      </c>
      <c r="T67" s="8">
        <f t="shared" si="61"/>
        <v>869776.4001</v>
      </c>
      <c r="U67" s="8">
        <f t="shared" si="7"/>
        <v>1098221.647</v>
      </c>
      <c r="V67" s="8">
        <f t="shared" ref="V67:W67" si="144">T67/1000</f>
        <v>869.7764001</v>
      </c>
      <c r="W67" s="8">
        <f t="shared" si="144"/>
        <v>1098.221647</v>
      </c>
      <c r="X67" s="8">
        <f t="shared" si="9"/>
        <v>55.80400085</v>
      </c>
      <c r="Y67" s="8">
        <f t="shared" si="10"/>
        <v>45</v>
      </c>
      <c r="Z67" s="8">
        <f t="shared" si="11"/>
        <v>56</v>
      </c>
      <c r="AA67" s="8">
        <f t="shared" si="12"/>
        <v>2</v>
      </c>
      <c r="AB67" s="8">
        <f t="shared" ref="AB67:AC67" si="145">ROUNDUP(V67/1000,0)</f>
        <v>1</v>
      </c>
      <c r="AC67" s="8">
        <f t="shared" si="145"/>
        <v>2</v>
      </c>
      <c r="AD67" s="8">
        <f t="shared" si="14"/>
        <v>59</v>
      </c>
      <c r="AE67" s="8">
        <f t="shared" si="15"/>
        <v>1</v>
      </c>
    </row>
    <row r="68" ht="22.5" customHeight="1">
      <c r="A68" s="7" t="s">
        <v>119</v>
      </c>
      <c r="B68" s="7" t="s">
        <v>44</v>
      </c>
      <c r="C68" s="7">
        <f t="shared" si="3"/>
        <v>4</v>
      </c>
      <c r="D68" s="7">
        <v>2078.931885</v>
      </c>
      <c r="E68" s="7">
        <v>55.11800385</v>
      </c>
      <c r="F68" s="7">
        <v>99.5</v>
      </c>
      <c r="G68" s="7">
        <v>0.0</v>
      </c>
      <c r="H68" s="7">
        <v>0.5</v>
      </c>
      <c r="I68" s="7">
        <v>0.0</v>
      </c>
      <c r="J68" s="7" t="s">
        <v>36</v>
      </c>
      <c r="K68" s="7" t="s">
        <v>36</v>
      </c>
      <c r="L68" s="7" t="s">
        <v>36</v>
      </c>
      <c r="M68" s="7" t="s">
        <v>36</v>
      </c>
      <c r="N68" s="7" t="s">
        <v>36</v>
      </c>
      <c r="O68" s="7" t="s">
        <v>36</v>
      </c>
      <c r="P68" s="7" t="s">
        <v>36</v>
      </c>
      <c r="Q68" s="7" t="s">
        <v>36</v>
      </c>
      <c r="R68" s="8">
        <f t="shared" si="4"/>
        <v>17</v>
      </c>
      <c r="S68" s="8">
        <f t="shared" si="60"/>
        <v>2078931.885</v>
      </c>
      <c r="T68" s="8">
        <f t="shared" si="61"/>
        <v>1145865.756</v>
      </c>
      <c r="U68" s="8">
        <f t="shared" si="7"/>
        <v>933066.1286</v>
      </c>
      <c r="V68" s="8">
        <f t="shared" ref="V68:W68" si="146">T68/1000</f>
        <v>1145.865756</v>
      </c>
      <c r="W68" s="8">
        <f t="shared" si="146"/>
        <v>933.0661286</v>
      </c>
      <c r="X68" s="8">
        <f t="shared" si="9"/>
        <v>44.88199615</v>
      </c>
      <c r="Y68" s="8">
        <f t="shared" si="10"/>
        <v>56</v>
      </c>
      <c r="Z68" s="8">
        <f t="shared" si="11"/>
        <v>45</v>
      </c>
      <c r="AA68" s="8">
        <f t="shared" si="12"/>
        <v>3</v>
      </c>
      <c r="AB68" s="8">
        <f t="shared" ref="AB68:AC68" si="147">ROUNDUP(V68/1000,0)</f>
        <v>2</v>
      </c>
      <c r="AC68" s="8">
        <f t="shared" si="147"/>
        <v>1</v>
      </c>
      <c r="AD68" s="8">
        <f t="shared" si="14"/>
        <v>100</v>
      </c>
      <c r="AE68" s="8">
        <f t="shared" si="15"/>
        <v>1</v>
      </c>
    </row>
    <row r="69" ht="22.5" customHeight="1">
      <c r="A69" s="7" t="s">
        <v>120</v>
      </c>
      <c r="B69" s="7" t="s">
        <v>47</v>
      </c>
      <c r="C69" s="7">
        <f t="shared" si="3"/>
        <v>3</v>
      </c>
      <c r="D69" s="7">
        <v>2083.379883</v>
      </c>
      <c r="E69" s="7">
        <v>58.48199844</v>
      </c>
      <c r="F69" s="7">
        <v>97.74281579</v>
      </c>
      <c r="G69" s="7">
        <v>1.63499414</v>
      </c>
      <c r="H69" s="7">
        <v>0.5742284762</v>
      </c>
      <c r="I69" s="7">
        <v>0.04796159706</v>
      </c>
      <c r="J69" s="7">
        <v>97.46871457</v>
      </c>
      <c r="K69" s="7">
        <v>1.505202232</v>
      </c>
      <c r="L69" s="7">
        <v>0.9105631982</v>
      </c>
      <c r="M69" s="7">
        <v>0.11552</v>
      </c>
      <c r="N69" s="7">
        <v>97.93740299</v>
      </c>
      <c r="O69" s="7">
        <v>1.727136954</v>
      </c>
      <c r="P69" s="7">
        <v>0.3354600563</v>
      </c>
      <c r="Q69" s="7">
        <v>0.0</v>
      </c>
      <c r="R69" s="8">
        <f t="shared" si="4"/>
        <v>17</v>
      </c>
      <c r="S69" s="8">
        <f t="shared" si="60"/>
        <v>2083379.883</v>
      </c>
      <c r="T69" s="8">
        <f t="shared" si="61"/>
        <v>1218402.191</v>
      </c>
      <c r="U69" s="8">
        <f t="shared" si="7"/>
        <v>864977.6923</v>
      </c>
      <c r="V69" s="8">
        <f t="shared" ref="V69:W69" si="148">T69/1000</f>
        <v>1218.402191</v>
      </c>
      <c r="W69" s="8">
        <f t="shared" si="148"/>
        <v>864.9776923</v>
      </c>
      <c r="X69" s="8">
        <f t="shared" si="9"/>
        <v>41.51800156</v>
      </c>
      <c r="Y69" s="8">
        <f t="shared" si="10"/>
        <v>59</v>
      </c>
      <c r="Z69" s="8">
        <f t="shared" si="11"/>
        <v>42</v>
      </c>
      <c r="AA69" s="8">
        <f t="shared" si="12"/>
        <v>3</v>
      </c>
      <c r="AB69" s="8">
        <f t="shared" ref="AB69:AC69" si="149">ROUNDUP(V69/1000,0)</f>
        <v>2</v>
      </c>
      <c r="AC69" s="8">
        <f t="shared" si="149"/>
        <v>1</v>
      </c>
      <c r="AD69" s="8">
        <f t="shared" si="14"/>
        <v>98</v>
      </c>
      <c r="AE69" s="8">
        <f t="shared" si="15"/>
        <v>1</v>
      </c>
    </row>
    <row r="70" ht="22.5" customHeight="1">
      <c r="A70" s="7" t="s">
        <v>121</v>
      </c>
      <c r="B70" s="7" t="s">
        <v>67</v>
      </c>
      <c r="C70" s="7">
        <f t="shared" si="3"/>
        <v>2</v>
      </c>
      <c r="D70" s="7">
        <v>2142.251953</v>
      </c>
      <c r="E70" s="7">
        <v>29.02799988</v>
      </c>
      <c r="F70" s="7">
        <v>72.17603927</v>
      </c>
      <c r="G70" s="7">
        <v>10.40592597</v>
      </c>
      <c r="H70" s="7">
        <v>12.21725464</v>
      </c>
      <c r="I70" s="7">
        <v>5.200780116</v>
      </c>
      <c r="J70" s="7">
        <v>63.65035482</v>
      </c>
      <c r="K70" s="7">
        <v>13.55843013</v>
      </c>
      <c r="L70" s="7">
        <v>15.73132479</v>
      </c>
      <c r="M70" s="7">
        <v>7.059890254</v>
      </c>
      <c r="N70" s="7">
        <v>93.02090855</v>
      </c>
      <c r="O70" s="7">
        <v>2.698211997</v>
      </c>
      <c r="P70" s="7">
        <v>3.625530038</v>
      </c>
      <c r="Q70" s="7">
        <v>0.65534942</v>
      </c>
      <c r="R70" s="8">
        <f t="shared" si="4"/>
        <v>17</v>
      </c>
      <c r="S70" s="8">
        <f t="shared" si="60"/>
        <v>2142251.953</v>
      </c>
      <c r="T70" s="8">
        <f t="shared" si="61"/>
        <v>621852.8943</v>
      </c>
      <c r="U70" s="8">
        <f t="shared" si="7"/>
        <v>1520399.059</v>
      </c>
      <c r="V70" s="8">
        <f t="shared" ref="V70:W70" si="150">T70/1000</f>
        <v>621.8528943</v>
      </c>
      <c r="W70" s="8">
        <f t="shared" si="150"/>
        <v>1520.399059</v>
      </c>
      <c r="X70" s="8">
        <f t="shared" si="9"/>
        <v>70.97200012</v>
      </c>
      <c r="Y70" s="8">
        <f t="shared" si="10"/>
        <v>30</v>
      </c>
      <c r="Z70" s="8">
        <f t="shared" si="11"/>
        <v>71</v>
      </c>
      <c r="AA70" s="8">
        <f t="shared" si="12"/>
        <v>3</v>
      </c>
      <c r="AB70" s="8">
        <f t="shared" ref="AB70:AC70" si="151">ROUNDUP(V70/1000,0)</f>
        <v>1</v>
      </c>
      <c r="AC70" s="8">
        <f t="shared" si="151"/>
        <v>2</v>
      </c>
      <c r="AD70" s="8">
        <f t="shared" si="14"/>
        <v>72</v>
      </c>
      <c r="AE70" s="8">
        <f t="shared" si="15"/>
        <v>1</v>
      </c>
    </row>
    <row r="71" ht="22.5" customHeight="1">
      <c r="A71" s="7" t="s">
        <v>122</v>
      </c>
      <c r="B71" s="7" t="s">
        <v>47</v>
      </c>
      <c r="C71" s="7">
        <f t="shared" si="3"/>
        <v>3</v>
      </c>
      <c r="D71" s="7">
        <v>2225.728027</v>
      </c>
      <c r="E71" s="7">
        <v>90.09200287</v>
      </c>
      <c r="F71" s="7">
        <v>85.3419306</v>
      </c>
      <c r="G71" s="7">
        <v>7.735263103</v>
      </c>
      <c r="H71" s="7">
        <v>6.922808357</v>
      </c>
      <c r="I71" s="7" t="s">
        <v>36</v>
      </c>
      <c r="J71" s="7">
        <v>44.74588901</v>
      </c>
      <c r="K71" s="7">
        <v>10.51114859</v>
      </c>
      <c r="L71" s="7">
        <v>44.7429624</v>
      </c>
      <c r="M71" s="7" t="s">
        <v>36</v>
      </c>
      <c r="N71" s="7">
        <v>89.80653917</v>
      </c>
      <c r="O71" s="7">
        <v>7.42998076</v>
      </c>
      <c r="P71" s="7">
        <v>2.763480072</v>
      </c>
      <c r="Q71" s="7" t="s">
        <v>36</v>
      </c>
      <c r="R71" s="8">
        <f t="shared" si="4"/>
        <v>17</v>
      </c>
      <c r="S71" s="8">
        <f t="shared" si="60"/>
        <v>2225728.027</v>
      </c>
      <c r="T71" s="8">
        <f t="shared" si="61"/>
        <v>2005202.958</v>
      </c>
      <c r="U71" s="8">
        <f t="shared" si="7"/>
        <v>220525.069</v>
      </c>
      <c r="V71" s="8">
        <f t="shared" ref="V71:W71" si="152">T71/1000</f>
        <v>2005.202958</v>
      </c>
      <c r="W71" s="8">
        <f t="shared" si="152"/>
        <v>220.525069</v>
      </c>
      <c r="X71" s="8">
        <f t="shared" si="9"/>
        <v>9.90799713</v>
      </c>
      <c r="Y71" s="8">
        <f t="shared" si="10"/>
        <v>91</v>
      </c>
      <c r="Z71" s="8">
        <f t="shared" si="11"/>
        <v>10</v>
      </c>
      <c r="AA71" s="8">
        <f t="shared" si="12"/>
        <v>3</v>
      </c>
      <c r="AB71" s="8">
        <f t="shared" ref="AB71:AC71" si="153">ROUNDUP(V71/1000,0)</f>
        <v>3</v>
      </c>
      <c r="AC71" s="8">
        <f t="shared" si="153"/>
        <v>1</v>
      </c>
      <c r="AD71" s="8">
        <f t="shared" si="14"/>
        <v>85</v>
      </c>
      <c r="AE71" s="8">
        <f t="shared" si="15"/>
        <v>1</v>
      </c>
    </row>
    <row r="72" ht="22.5" customHeight="1">
      <c r="A72" s="7" t="s">
        <v>123</v>
      </c>
      <c r="B72" s="7" t="s">
        <v>47</v>
      </c>
      <c r="C72" s="7">
        <f t="shared" si="3"/>
        <v>3</v>
      </c>
      <c r="D72" s="7">
        <v>2351.625</v>
      </c>
      <c r="E72" s="7">
        <v>70.8769989</v>
      </c>
      <c r="F72" s="7">
        <v>92.21356307</v>
      </c>
      <c r="G72" s="7">
        <v>4.72303897</v>
      </c>
      <c r="H72" s="7">
        <v>1.732526476</v>
      </c>
      <c r="I72" s="7">
        <v>1.330871481</v>
      </c>
      <c r="J72" s="7">
        <v>79.04372386</v>
      </c>
      <c r="K72" s="7">
        <v>15.15494718</v>
      </c>
      <c r="L72" s="7">
        <v>1.596119156</v>
      </c>
      <c r="M72" s="7">
        <v>4.20520981</v>
      </c>
      <c r="N72" s="7">
        <v>97.62498058</v>
      </c>
      <c r="O72" s="7">
        <v>0.4366200322</v>
      </c>
      <c r="P72" s="7">
        <v>1.788579159</v>
      </c>
      <c r="Q72" s="7">
        <v>0.1498202281</v>
      </c>
      <c r="R72" s="8">
        <f t="shared" si="4"/>
        <v>17</v>
      </c>
      <c r="S72" s="8">
        <f t="shared" si="60"/>
        <v>2351625</v>
      </c>
      <c r="T72" s="8">
        <f t="shared" si="61"/>
        <v>1666761.225</v>
      </c>
      <c r="U72" s="8">
        <f t="shared" si="7"/>
        <v>684863.7746</v>
      </c>
      <c r="V72" s="8">
        <f t="shared" ref="V72:W72" si="154">T72/1000</f>
        <v>1666.761225</v>
      </c>
      <c r="W72" s="8">
        <f t="shared" si="154"/>
        <v>684.8637746</v>
      </c>
      <c r="X72" s="8">
        <f t="shared" si="9"/>
        <v>29.1230011</v>
      </c>
      <c r="Y72" s="8">
        <f t="shared" si="10"/>
        <v>71</v>
      </c>
      <c r="Z72" s="8">
        <f t="shared" si="11"/>
        <v>30</v>
      </c>
      <c r="AA72" s="8">
        <f t="shared" si="12"/>
        <v>3</v>
      </c>
      <c r="AB72" s="8">
        <f t="shared" ref="AB72:AC72" si="155">ROUNDUP(V72/1000,0)</f>
        <v>2</v>
      </c>
      <c r="AC72" s="8">
        <f t="shared" si="155"/>
        <v>1</v>
      </c>
      <c r="AD72" s="8">
        <f t="shared" si="14"/>
        <v>92</v>
      </c>
      <c r="AE72" s="8">
        <f t="shared" si="15"/>
        <v>1</v>
      </c>
    </row>
    <row r="73" ht="22.5" customHeight="1">
      <c r="A73" s="7" t="s">
        <v>124</v>
      </c>
      <c r="B73" s="7" t="s">
        <v>118</v>
      </c>
      <c r="C73" s="7">
        <f t="shared" si="3"/>
        <v>1</v>
      </c>
      <c r="D73" s="7">
        <v>2416.664063</v>
      </c>
      <c r="E73" s="7">
        <v>62.58199692</v>
      </c>
      <c r="F73" s="7">
        <v>80.94040714</v>
      </c>
      <c r="G73" s="7">
        <v>8.597391391</v>
      </c>
      <c r="H73" s="7">
        <v>10.35285207</v>
      </c>
      <c r="I73" s="7">
        <v>0.1093493927</v>
      </c>
      <c r="J73" s="7">
        <v>69.18852321</v>
      </c>
      <c r="K73" s="7">
        <v>16.49783239</v>
      </c>
      <c r="L73" s="7">
        <v>14.24376547</v>
      </c>
      <c r="M73" s="7">
        <v>0.0698789368</v>
      </c>
      <c r="N73" s="7">
        <v>87.96690427</v>
      </c>
      <c r="O73" s="7">
        <v>3.873689522</v>
      </c>
      <c r="P73" s="7">
        <v>8.026457278</v>
      </c>
      <c r="Q73" s="7">
        <v>0.1329489253</v>
      </c>
      <c r="R73" s="8">
        <f t="shared" si="4"/>
        <v>17</v>
      </c>
      <c r="S73" s="8">
        <f t="shared" si="60"/>
        <v>2416664.063</v>
      </c>
      <c r="T73" s="8">
        <f t="shared" si="61"/>
        <v>1512396.629</v>
      </c>
      <c r="U73" s="8">
        <f t="shared" si="7"/>
        <v>904267.4335</v>
      </c>
      <c r="V73" s="8">
        <f t="shared" ref="V73:W73" si="156">T73/1000</f>
        <v>1512.396629</v>
      </c>
      <c r="W73" s="8">
        <f t="shared" si="156"/>
        <v>904.2674335</v>
      </c>
      <c r="X73" s="8">
        <f t="shared" si="9"/>
        <v>37.41800308</v>
      </c>
      <c r="Y73" s="8">
        <f t="shared" si="10"/>
        <v>63</v>
      </c>
      <c r="Z73" s="8">
        <f t="shared" si="11"/>
        <v>38</v>
      </c>
      <c r="AA73" s="8">
        <f t="shared" si="12"/>
        <v>3</v>
      </c>
      <c r="AB73" s="8">
        <f t="shared" ref="AB73:AC73" si="157">ROUNDUP(V73/1000,0)</f>
        <v>2</v>
      </c>
      <c r="AC73" s="8">
        <f t="shared" si="157"/>
        <v>1</v>
      </c>
      <c r="AD73" s="8">
        <f t="shared" si="14"/>
        <v>81</v>
      </c>
      <c r="AE73" s="8">
        <f t="shared" si="15"/>
        <v>1</v>
      </c>
    </row>
    <row r="74" ht="22.5" customHeight="1">
      <c r="A74" s="7" t="s">
        <v>133</v>
      </c>
      <c r="B74" s="7" t="s">
        <v>47</v>
      </c>
      <c r="C74" s="7">
        <f t="shared" si="3"/>
        <v>3</v>
      </c>
      <c r="D74" s="7">
        <v>2540.916016</v>
      </c>
      <c r="E74" s="7">
        <v>52.03300095</v>
      </c>
      <c r="F74" s="7">
        <v>84.27003628</v>
      </c>
      <c r="G74" s="7">
        <v>7.08762751</v>
      </c>
      <c r="H74" s="7">
        <v>3.740143722</v>
      </c>
      <c r="I74" s="7">
        <v>4.902192485</v>
      </c>
      <c r="J74" s="7">
        <v>71.25616743</v>
      </c>
      <c r="K74" s="7">
        <v>11.97218925</v>
      </c>
      <c r="L74" s="7">
        <v>7.081803759</v>
      </c>
      <c r="M74" s="7">
        <v>9.689839563</v>
      </c>
      <c r="N74" s="7">
        <v>96.26696535</v>
      </c>
      <c r="O74" s="7">
        <v>2.584758965</v>
      </c>
      <c r="P74" s="7">
        <v>0.6596102638</v>
      </c>
      <c r="Q74" s="7">
        <v>0.4886654211</v>
      </c>
      <c r="R74" s="8">
        <f t="shared" si="4"/>
        <v>17</v>
      </c>
      <c r="S74" s="8">
        <f t="shared" si="60"/>
        <v>2540916.016</v>
      </c>
      <c r="T74" s="8">
        <f t="shared" si="61"/>
        <v>1322114.855</v>
      </c>
      <c r="U74" s="8">
        <f t="shared" si="7"/>
        <v>1218801.161</v>
      </c>
      <c r="V74" s="8">
        <f t="shared" ref="V74:W74" si="158">T74/1000</f>
        <v>1322.114855</v>
      </c>
      <c r="W74" s="8">
        <f t="shared" si="158"/>
        <v>1218.801161</v>
      </c>
      <c r="X74" s="8">
        <f t="shared" si="9"/>
        <v>47.96699905</v>
      </c>
      <c r="Y74" s="8">
        <f t="shared" si="10"/>
        <v>53</v>
      </c>
      <c r="Z74" s="8">
        <f t="shared" si="11"/>
        <v>48</v>
      </c>
      <c r="AA74" s="8">
        <f t="shared" si="12"/>
        <v>3</v>
      </c>
      <c r="AB74" s="8">
        <f t="shared" ref="AB74:AC74" si="159">ROUNDUP(V74/1000,0)</f>
        <v>2</v>
      </c>
      <c r="AC74" s="8">
        <f t="shared" si="159"/>
        <v>2</v>
      </c>
      <c r="AD74" s="8">
        <f t="shared" si="14"/>
        <v>84</v>
      </c>
      <c r="AE74" s="8">
        <f t="shared" si="15"/>
        <v>1</v>
      </c>
    </row>
    <row r="75" ht="22.5" customHeight="1">
      <c r="A75" s="7" t="s">
        <v>134</v>
      </c>
      <c r="B75" s="7" t="s">
        <v>44</v>
      </c>
      <c r="C75" s="7">
        <f t="shared" si="3"/>
        <v>4</v>
      </c>
      <c r="D75" s="7">
        <v>2722.291016</v>
      </c>
      <c r="E75" s="7">
        <v>68.04599762</v>
      </c>
      <c r="F75" s="7">
        <v>98.01334724</v>
      </c>
      <c r="G75" s="7">
        <v>0.0</v>
      </c>
      <c r="H75" s="7">
        <v>1.98665276</v>
      </c>
      <c r="I75" s="7">
        <v>0.0</v>
      </c>
      <c r="J75" s="7">
        <v>93.78278023</v>
      </c>
      <c r="K75" s="7">
        <v>0.0</v>
      </c>
      <c r="L75" s="7">
        <v>6.217219771</v>
      </c>
      <c r="M75" s="7">
        <v>0.0</v>
      </c>
      <c r="N75" s="7">
        <v>100.0</v>
      </c>
      <c r="O75" s="7">
        <v>0.0</v>
      </c>
      <c r="P75" s="7">
        <v>0.0</v>
      </c>
      <c r="Q75" s="7">
        <v>0.0</v>
      </c>
      <c r="R75" s="8">
        <f t="shared" si="4"/>
        <v>17</v>
      </c>
      <c r="S75" s="8">
        <f t="shared" si="60"/>
        <v>2722291.016</v>
      </c>
      <c r="T75" s="8">
        <f t="shared" si="61"/>
        <v>1852410.08</v>
      </c>
      <c r="U75" s="8">
        <f t="shared" si="7"/>
        <v>869880.936</v>
      </c>
      <c r="V75" s="8">
        <f t="shared" ref="V75:W75" si="160">T75/1000</f>
        <v>1852.41008</v>
      </c>
      <c r="W75" s="8">
        <f t="shared" si="160"/>
        <v>869.880936</v>
      </c>
      <c r="X75" s="8">
        <f t="shared" si="9"/>
        <v>31.95400238</v>
      </c>
      <c r="Y75" s="8">
        <f t="shared" si="10"/>
        <v>69</v>
      </c>
      <c r="Z75" s="8">
        <f t="shared" si="11"/>
        <v>32</v>
      </c>
      <c r="AA75" s="8">
        <f t="shared" si="12"/>
        <v>3</v>
      </c>
      <c r="AB75" s="8">
        <f t="shared" ref="AB75:AC75" si="161">ROUNDUP(V75/1000,0)</f>
        <v>2</v>
      </c>
      <c r="AC75" s="8">
        <f t="shared" si="161"/>
        <v>1</v>
      </c>
      <c r="AD75" s="8">
        <f t="shared" si="14"/>
        <v>98</v>
      </c>
      <c r="AE75" s="8">
        <f t="shared" si="15"/>
        <v>1</v>
      </c>
    </row>
    <row r="76" ht="22.5" customHeight="1">
      <c r="A76" s="7" t="s">
        <v>135</v>
      </c>
      <c r="B76" s="7" t="s">
        <v>44</v>
      </c>
      <c r="C76" s="7">
        <f t="shared" si="3"/>
        <v>4</v>
      </c>
      <c r="D76" s="7">
        <v>2860.840088</v>
      </c>
      <c r="E76" s="7">
        <v>93.58100128</v>
      </c>
      <c r="F76" s="7">
        <v>100.0</v>
      </c>
      <c r="G76" s="7">
        <v>0.0</v>
      </c>
      <c r="H76" s="7">
        <v>0.0</v>
      </c>
      <c r="I76" s="7">
        <v>0.0</v>
      </c>
      <c r="J76" s="7" t="s">
        <v>36</v>
      </c>
      <c r="K76" s="7" t="s">
        <v>36</v>
      </c>
      <c r="L76" s="7" t="s">
        <v>36</v>
      </c>
      <c r="M76" s="7" t="s">
        <v>36</v>
      </c>
      <c r="N76" s="7" t="s">
        <v>36</v>
      </c>
      <c r="O76" s="7" t="s">
        <v>36</v>
      </c>
      <c r="P76" s="7" t="s">
        <v>36</v>
      </c>
      <c r="Q76" s="7" t="s">
        <v>36</v>
      </c>
      <c r="R76" s="8">
        <f t="shared" si="4"/>
        <v>17</v>
      </c>
      <c r="S76" s="8">
        <f t="shared" si="60"/>
        <v>2860840.088</v>
      </c>
      <c r="T76" s="8">
        <f t="shared" si="61"/>
        <v>2677202.799</v>
      </c>
      <c r="U76" s="8">
        <f t="shared" si="7"/>
        <v>183637.2886</v>
      </c>
      <c r="V76" s="8">
        <f t="shared" ref="V76:W76" si="162">T76/1000</f>
        <v>2677.202799</v>
      </c>
      <c r="W76" s="8">
        <f t="shared" si="162"/>
        <v>183.6372886</v>
      </c>
      <c r="X76" s="8">
        <f t="shared" si="9"/>
        <v>6.41899872</v>
      </c>
      <c r="Y76" s="8">
        <f t="shared" si="10"/>
        <v>94</v>
      </c>
      <c r="Z76" s="8">
        <f t="shared" si="11"/>
        <v>7</v>
      </c>
      <c r="AA76" s="8">
        <f t="shared" si="12"/>
        <v>3</v>
      </c>
      <c r="AB76" s="8">
        <f t="shared" ref="AB76:AC76" si="163">ROUNDUP(V76/1000,0)</f>
        <v>3</v>
      </c>
      <c r="AC76" s="8">
        <f t="shared" si="163"/>
        <v>1</v>
      </c>
      <c r="AD76" s="8">
        <f t="shared" si="14"/>
        <v>100</v>
      </c>
      <c r="AE76" s="8">
        <f t="shared" si="15"/>
        <v>1</v>
      </c>
    </row>
    <row r="77" ht="22.5" customHeight="1">
      <c r="A77" s="7" t="s">
        <v>137</v>
      </c>
      <c r="B77" s="7" t="s">
        <v>47</v>
      </c>
      <c r="C77" s="7">
        <f t="shared" si="3"/>
        <v>3</v>
      </c>
      <c r="D77" s="7">
        <v>2877.800049</v>
      </c>
      <c r="E77" s="7">
        <v>62.11199951</v>
      </c>
      <c r="F77" s="7">
        <v>95.06803883</v>
      </c>
      <c r="G77" s="7">
        <v>1.884656092</v>
      </c>
      <c r="H77" s="7">
        <v>3.047305081</v>
      </c>
      <c r="I77" s="7">
        <v>0.0</v>
      </c>
      <c r="J77" s="7">
        <v>94.09135806</v>
      </c>
      <c r="K77" s="7">
        <v>2.305264955</v>
      </c>
      <c r="L77" s="7">
        <v>3.603376986</v>
      </c>
      <c r="M77" s="7">
        <v>0.0</v>
      </c>
      <c r="N77" s="7">
        <v>95.66380912</v>
      </c>
      <c r="O77" s="7">
        <v>1.62808683</v>
      </c>
      <c r="P77" s="7">
        <v>2.708104054</v>
      </c>
      <c r="Q77" s="7">
        <v>0.0</v>
      </c>
      <c r="R77" s="8">
        <f t="shared" si="4"/>
        <v>17</v>
      </c>
      <c r="S77" s="8">
        <f t="shared" si="60"/>
        <v>2877800.049</v>
      </c>
      <c r="T77" s="8">
        <f t="shared" si="61"/>
        <v>1787459.152</v>
      </c>
      <c r="U77" s="8">
        <f t="shared" si="7"/>
        <v>1090340.897</v>
      </c>
      <c r="V77" s="8">
        <f t="shared" ref="V77:W77" si="164">T77/1000</f>
        <v>1787.459152</v>
      </c>
      <c r="W77" s="8">
        <f t="shared" si="164"/>
        <v>1090.340897</v>
      </c>
      <c r="X77" s="8">
        <f t="shared" si="9"/>
        <v>37.88800049</v>
      </c>
      <c r="Y77" s="8">
        <f t="shared" si="10"/>
        <v>63</v>
      </c>
      <c r="Z77" s="8">
        <f t="shared" si="11"/>
        <v>38</v>
      </c>
      <c r="AA77" s="8">
        <f t="shared" si="12"/>
        <v>3</v>
      </c>
      <c r="AB77" s="8">
        <f t="shared" ref="AB77:AC77" si="165">ROUNDUP(V77/1000,0)</f>
        <v>2</v>
      </c>
      <c r="AC77" s="8">
        <f t="shared" si="165"/>
        <v>2</v>
      </c>
      <c r="AD77" s="8">
        <f t="shared" si="14"/>
        <v>95</v>
      </c>
      <c r="AE77" s="8">
        <f t="shared" si="15"/>
        <v>1</v>
      </c>
    </row>
    <row r="78" ht="22.5" customHeight="1">
      <c r="A78" s="7" t="s">
        <v>138</v>
      </c>
      <c r="B78" s="7" t="s">
        <v>44</v>
      </c>
      <c r="C78" s="7">
        <f t="shared" si="3"/>
        <v>4</v>
      </c>
      <c r="D78" s="7">
        <v>2881.060059</v>
      </c>
      <c r="E78" s="7">
        <v>99.23500061</v>
      </c>
      <c r="F78" s="7">
        <v>99.56810194</v>
      </c>
      <c r="G78" s="7">
        <v>0.0</v>
      </c>
      <c r="H78" s="7">
        <v>0.4318980637</v>
      </c>
      <c r="I78" s="7">
        <v>0.0</v>
      </c>
      <c r="J78" s="7" t="s">
        <v>36</v>
      </c>
      <c r="K78" s="7" t="s">
        <v>36</v>
      </c>
      <c r="L78" s="7" t="s">
        <v>36</v>
      </c>
      <c r="M78" s="7" t="s">
        <v>36</v>
      </c>
      <c r="N78" s="7" t="s">
        <v>36</v>
      </c>
      <c r="O78" s="7" t="s">
        <v>36</v>
      </c>
      <c r="P78" s="7" t="s">
        <v>36</v>
      </c>
      <c r="Q78" s="7" t="s">
        <v>36</v>
      </c>
      <c r="R78" s="8">
        <f t="shared" si="4"/>
        <v>17</v>
      </c>
      <c r="S78" s="8">
        <f t="shared" si="60"/>
        <v>2881060.059</v>
      </c>
      <c r="T78" s="8">
        <f t="shared" si="61"/>
        <v>2859019.967</v>
      </c>
      <c r="U78" s="8">
        <f t="shared" si="7"/>
        <v>22040.09188</v>
      </c>
      <c r="V78" s="8">
        <f t="shared" ref="V78:W78" si="166">T78/1000</f>
        <v>2859.019967</v>
      </c>
      <c r="W78" s="8">
        <f t="shared" si="166"/>
        <v>22.04009188</v>
      </c>
      <c r="X78" s="8">
        <f t="shared" si="9"/>
        <v>0.76499939</v>
      </c>
      <c r="Y78" s="8">
        <f t="shared" si="10"/>
        <v>100</v>
      </c>
      <c r="Z78" s="8">
        <f t="shared" si="11"/>
        <v>1</v>
      </c>
      <c r="AA78" s="8">
        <f t="shared" si="12"/>
        <v>3</v>
      </c>
      <c r="AB78" s="8">
        <f t="shared" ref="AB78:AC78" si="167">ROUNDUP(V78/1000,0)</f>
        <v>3</v>
      </c>
      <c r="AC78" s="8">
        <f t="shared" si="167"/>
        <v>1</v>
      </c>
      <c r="AD78" s="8">
        <f t="shared" si="14"/>
        <v>100</v>
      </c>
      <c r="AE78" s="8">
        <f t="shared" si="15"/>
        <v>1</v>
      </c>
    </row>
    <row r="79" ht="22.5" customHeight="1">
      <c r="A79" s="7" t="s">
        <v>139</v>
      </c>
      <c r="B79" s="7" t="s">
        <v>47</v>
      </c>
      <c r="C79" s="7">
        <f t="shared" si="3"/>
        <v>3</v>
      </c>
      <c r="D79" s="7">
        <v>2961.160889</v>
      </c>
      <c r="E79" s="7">
        <v>56.31100082</v>
      </c>
      <c r="F79" s="7">
        <v>91.0299445</v>
      </c>
      <c r="G79" s="7">
        <v>5.367570914</v>
      </c>
      <c r="H79" s="7">
        <v>1.864010203</v>
      </c>
      <c r="I79" s="7">
        <v>1.738474379</v>
      </c>
      <c r="J79" s="7">
        <v>85.39991216</v>
      </c>
      <c r="K79" s="7">
        <v>8.490737371</v>
      </c>
      <c r="L79" s="7">
        <v>2.568971895</v>
      </c>
      <c r="M79" s="7">
        <v>3.540378574</v>
      </c>
      <c r="N79" s="7">
        <v>95.39801591</v>
      </c>
      <c r="O79" s="7">
        <v>2.944456223</v>
      </c>
      <c r="P79" s="7">
        <v>1.317064322</v>
      </c>
      <c r="Q79" s="7">
        <v>0.34046355</v>
      </c>
      <c r="R79" s="8">
        <f t="shared" si="4"/>
        <v>17</v>
      </c>
      <c r="S79" s="8">
        <f t="shared" si="60"/>
        <v>2961160.889</v>
      </c>
      <c r="T79" s="8">
        <f t="shared" si="61"/>
        <v>1667459.332</v>
      </c>
      <c r="U79" s="8">
        <f t="shared" si="7"/>
        <v>1293701.557</v>
      </c>
      <c r="V79" s="8">
        <f t="shared" ref="V79:W79" si="168">T79/1000</f>
        <v>1667.459332</v>
      </c>
      <c r="W79" s="8">
        <f t="shared" si="168"/>
        <v>1293.701557</v>
      </c>
      <c r="X79" s="8">
        <f t="shared" si="9"/>
        <v>43.68899918</v>
      </c>
      <c r="Y79" s="8">
        <f t="shared" si="10"/>
        <v>57</v>
      </c>
      <c r="Z79" s="8">
        <f t="shared" si="11"/>
        <v>44</v>
      </c>
      <c r="AA79" s="8">
        <f t="shared" si="12"/>
        <v>3</v>
      </c>
      <c r="AB79" s="8">
        <f t="shared" ref="AB79:AC79" si="169">ROUNDUP(V79/1000,0)</f>
        <v>2</v>
      </c>
      <c r="AC79" s="8">
        <f t="shared" si="169"/>
        <v>2</v>
      </c>
      <c r="AD79" s="8">
        <f t="shared" si="14"/>
        <v>91</v>
      </c>
      <c r="AE79" s="8">
        <f t="shared" si="15"/>
        <v>1</v>
      </c>
    </row>
    <row r="80" ht="22.5" customHeight="1">
      <c r="A80" s="7" t="s">
        <v>140</v>
      </c>
      <c r="B80" s="7" t="s">
        <v>47</v>
      </c>
      <c r="C80" s="7">
        <f t="shared" si="3"/>
        <v>3</v>
      </c>
      <c r="D80" s="7">
        <v>2963.233887</v>
      </c>
      <c r="E80" s="7">
        <v>63.31299973</v>
      </c>
      <c r="F80" s="7">
        <v>99.97118069</v>
      </c>
      <c r="G80" s="7">
        <v>0.0</v>
      </c>
      <c r="H80" s="7">
        <v>0.02881930801</v>
      </c>
      <c r="I80" s="7">
        <v>0.0</v>
      </c>
      <c r="J80" s="7">
        <v>100.0</v>
      </c>
      <c r="K80" s="7">
        <v>0.0</v>
      </c>
      <c r="L80" s="7">
        <v>0.0</v>
      </c>
      <c r="M80" s="7">
        <v>0.0</v>
      </c>
      <c r="N80" s="7">
        <v>99.95448122</v>
      </c>
      <c r="O80" s="7">
        <v>0.0</v>
      </c>
      <c r="P80" s="7">
        <v>0.04551878364</v>
      </c>
      <c r="Q80" s="7">
        <v>0.0</v>
      </c>
      <c r="R80" s="8">
        <f t="shared" si="4"/>
        <v>17</v>
      </c>
      <c r="S80" s="8">
        <f t="shared" si="60"/>
        <v>2963233.887</v>
      </c>
      <c r="T80" s="8">
        <f t="shared" si="61"/>
        <v>1876112.263</v>
      </c>
      <c r="U80" s="8">
        <f t="shared" si="7"/>
        <v>1087121.624</v>
      </c>
      <c r="V80" s="8">
        <f t="shared" ref="V80:W80" si="170">T80/1000</f>
        <v>1876.112263</v>
      </c>
      <c r="W80" s="8">
        <f t="shared" si="170"/>
        <v>1087.121624</v>
      </c>
      <c r="X80" s="8">
        <f t="shared" si="9"/>
        <v>36.68700027</v>
      </c>
      <c r="Y80" s="8">
        <f t="shared" si="10"/>
        <v>64</v>
      </c>
      <c r="Z80" s="8">
        <f t="shared" si="11"/>
        <v>37</v>
      </c>
      <c r="AA80" s="8">
        <f t="shared" si="12"/>
        <v>3</v>
      </c>
      <c r="AB80" s="8">
        <f t="shared" ref="AB80:AC80" si="171">ROUNDUP(V80/1000,0)</f>
        <v>2</v>
      </c>
      <c r="AC80" s="8">
        <f t="shared" si="171"/>
        <v>2</v>
      </c>
      <c r="AD80" s="8">
        <f t="shared" si="14"/>
        <v>100</v>
      </c>
      <c r="AE80" s="8">
        <f t="shared" si="15"/>
        <v>1</v>
      </c>
    </row>
    <row r="81" ht="22.5" customHeight="1">
      <c r="A81" s="7" t="s">
        <v>141</v>
      </c>
      <c r="B81" s="7" t="s">
        <v>67</v>
      </c>
      <c r="C81" s="7">
        <f t="shared" si="3"/>
        <v>2</v>
      </c>
      <c r="D81" s="7">
        <v>3278.291992</v>
      </c>
      <c r="E81" s="7">
        <v>68.65699768</v>
      </c>
      <c r="F81" s="7">
        <v>85.49562527</v>
      </c>
      <c r="G81" s="7">
        <v>2.14642893</v>
      </c>
      <c r="H81" s="7">
        <v>6.633366714</v>
      </c>
      <c r="I81" s="7">
        <v>5.724579081</v>
      </c>
      <c r="J81" s="7">
        <v>61.07075114</v>
      </c>
      <c r="K81" s="7">
        <v>3.084170572</v>
      </c>
      <c r="L81" s="7">
        <v>17.58078116</v>
      </c>
      <c r="M81" s="7">
        <v>18.26429713</v>
      </c>
      <c r="N81" s="7">
        <v>96.64596558</v>
      </c>
      <c r="O81" s="7">
        <v>1.718335079</v>
      </c>
      <c r="P81" s="7">
        <v>1.635699341</v>
      </c>
      <c r="Q81" s="7">
        <v>0.0</v>
      </c>
      <c r="R81" s="8">
        <f t="shared" si="4"/>
        <v>17</v>
      </c>
      <c r="S81" s="8">
        <f t="shared" si="60"/>
        <v>3278291.992</v>
      </c>
      <c r="T81" s="8">
        <f t="shared" si="61"/>
        <v>2250776.857</v>
      </c>
      <c r="U81" s="8">
        <f t="shared" si="7"/>
        <v>1027515.135</v>
      </c>
      <c r="V81" s="8">
        <f t="shared" ref="V81:W81" si="172">T81/1000</f>
        <v>2250.776857</v>
      </c>
      <c r="W81" s="8">
        <f t="shared" si="172"/>
        <v>1027.515135</v>
      </c>
      <c r="X81" s="8">
        <f t="shared" si="9"/>
        <v>31.34300232</v>
      </c>
      <c r="Y81" s="8">
        <f t="shared" si="10"/>
        <v>69</v>
      </c>
      <c r="Z81" s="8">
        <f t="shared" si="11"/>
        <v>32</v>
      </c>
      <c r="AA81" s="8">
        <f t="shared" si="12"/>
        <v>4</v>
      </c>
      <c r="AB81" s="8">
        <f t="shared" ref="AB81:AC81" si="173">ROUNDUP(V81/1000,0)</f>
        <v>3</v>
      </c>
      <c r="AC81" s="8">
        <f t="shared" si="173"/>
        <v>2</v>
      </c>
      <c r="AD81" s="8">
        <f t="shared" si="14"/>
        <v>85</v>
      </c>
      <c r="AE81" s="8">
        <f t="shared" si="15"/>
        <v>1</v>
      </c>
    </row>
    <row r="82" ht="22.5" customHeight="1">
      <c r="A82" s="7" t="s">
        <v>142</v>
      </c>
      <c r="B82" s="7" t="s">
        <v>47</v>
      </c>
      <c r="C82" s="7">
        <f t="shared" si="3"/>
        <v>3</v>
      </c>
      <c r="D82" s="7">
        <v>3280.814941</v>
      </c>
      <c r="E82" s="7">
        <v>49.02000046</v>
      </c>
      <c r="F82" s="7">
        <v>96.11389762</v>
      </c>
      <c r="G82" s="7">
        <v>3.823663938</v>
      </c>
      <c r="H82" s="7">
        <v>0.06243843752</v>
      </c>
      <c r="I82" s="7">
        <v>0.0</v>
      </c>
      <c r="J82" s="7">
        <v>97.33333333</v>
      </c>
      <c r="K82" s="7">
        <v>2.666666667</v>
      </c>
      <c r="L82" s="7">
        <v>0.0</v>
      </c>
      <c r="M82" s="7">
        <v>0.0</v>
      </c>
      <c r="N82" s="7">
        <v>94.8457044</v>
      </c>
      <c r="O82" s="7">
        <v>5.026922206</v>
      </c>
      <c r="P82" s="7">
        <v>0.1273733928</v>
      </c>
      <c r="Q82" s="7">
        <v>0.0</v>
      </c>
      <c r="R82" s="8">
        <f t="shared" si="4"/>
        <v>17</v>
      </c>
      <c r="S82" s="8">
        <f t="shared" si="60"/>
        <v>3280814.941</v>
      </c>
      <c r="T82" s="8">
        <f t="shared" si="61"/>
        <v>1608255.499</v>
      </c>
      <c r="U82" s="8">
        <f t="shared" si="7"/>
        <v>1672559.442</v>
      </c>
      <c r="V82" s="8">
        <f t="shared" ref="V82:W82" si="174">T82/1000</f>
        <v>1608.255499</v>
      </c>
      <c r="W82" s="8">
        <f t="shared" si="174"/>
        <v>1672.559442</v>
      </c>
      <c r="X82" s="8">
        <f t="shared" si="9"/>
        <v>50.97999954</v>
      </c>
      <c r="Y82" s="8">
        <f t="shared" si="10"/>
        <v>50</v>
      </c>
      <c r="Z82" s="8">
        <f t="shared" si="11"/>
        <v>51</v>
      </c>
      <c r="AA82" s="8">
        <f t="shared" si="12"/>
        <v>4</v>
      </c>
      <c r="AB82" s="8">
        <f t="shared" ref="AB82:AC82" si="175">ROUNDUP(V82/1000,0)</f>
        <v>2</v>
      </c>
      <c r="AC82" s="8">
        <f t="shared" si="175"/>
        <v>2</v>
      </c>
      <c r="AD82" s="8">
        <f t="shared" si="14"/>
        <v>96</v>
      </c>
      <c r="AE82" s="8">
        <f t="shared" si="15"/>
        <v>1</v>
      </c>
    </row>
    <row r="83" ht="22.5" customHeight="1">
      <c r="A83" s="7" t="s">
        <v>143</v>
      </c>
      <c r="B83" s="7" t="s">
        <v>44</v>
      </c>
      <c r="C83" s="7">
        <f t="shared" si="3"/>
        <v>4</v>
      </c>
      <c r="D83" s="7">
        <v>3473.727051</v>
      </c>
      <c r="E83" s="7">
        <v>95.51499939</v>
      </c>
      <c r="F83" s="7">
        <v>99.49575756</v>
      </c>
      <c r="G83" s="7">
        <v>0.5042424412</v>
      </c>
      <c r="H83" s="7">
        <v>0.0</v>
      </c>
      <c r="I83" s="7">
        <v>0.0</v>
      </c>
      <c r="J83" s="7">
        <v>95.30083</v>
      </c>
      <c r="K83" s="7">
        <v>4.69917</v>
      </c>
      <c r="L83" s="7">
        <v>0.0</v>
      </c>
      <c r="M83" s="7">
        <v>0.0</v>
      </c>
      <c r="N83" s="7">
        <v>99.69273444</v>
      </c>
      <c r="O83" s="7">
        <v>0.3072655617</v>
      </c>
      <c r="P83" s="7">
        <v>0.0</v>
      </c>
      <c r="Q83" s="7">
        <v>0.0</v>
      </c>
      <c r="R83" s="8">
        <f t="shared" si="4"/>
        <v>17</v>
      </c>
      <c r="S83" s="8">
        <f t="shared" si="60"/>
        <v>3473727.051</v>
      </c>
      <c r="T83" s="8">
        <f t="shared" si="61"/>
        <v>3317930.372</v>
      </c>
      <c r="U83" s="8">
        <f t="shared" si="7"/>
        <v>155796.6794</v>
      </c>
      <c r="V83" s="8">
        <f t="shared" ref="V83:W83" si="176">T83/1000</f>
        <v>3317.930372</v>
      </c>
      <c r="W83" s="8">
        <f t="shared" si="176"/>
        <v>155.7966794</v>
      </c>
      <c r="X83" s="8">
        <f t="shared" si="9"/>
        <v>4.48500061</v>
      </c>
      <c r="Y83" s="8">
        <f t="shared" si="10"/>
        <v>96</v>
      </c>
      <c r="Z83" s="8">
        <f t="shared" si="11"/>
        <v>5</v>
      </c>
      <c r="AA83" s="8">
        <f t="shared" si="12"/>
        <v>4</v>
      </c>
      <c r="AB83" s="8">
        <f t="shared" ref="AB83:AC83" si="177">ROUNDUP(V83/1000,0)</f>
        <v>4</v>
      </c>
      <c r="AC83" s="8">
        <f t="shared" si="177"/>
        <v>1</v>
      </c>
      <c r="AD83" s="8">
        <f t="shared" si="14"/>
        <v>99</v>
      </c>
      <c r="AE83" s="8">
        <f t="shared" si="15"/>
        <v>1</v>
      </c>
    </row>
    <row r="84" ht="22.5" customHeight="1">
      <c r="A84" s="7" t="s">
        <v>144</v>
      </c>
      <c r="B84" s="7" t="s">
        <v>47</v>
      </c>
      <c r="C84" s="7">
        <f t="shared" si="3"/>
        <v>3</v>
      </c>
      <c r="D84" s="7">
        <v>3989.175049</v>
      </c>
      <c r="E84" s="7">
        <v>59.4529953</v>
      </c>
      <c r="F84" s="7">
        <v>97.3481397</v>
      </c>
      <c r="G84" s="7">
        <v>0.0</v>
      </c>
      <c r="H84" s="7">
        <v>2.632761379</v>
      </c>
      <c r="I84" s="7">
        <v>0.01909892327</v>
      </c>
      <c r="J84" s="7">
        <v>94.2718842</v>
      </c>
      <c r="K84" s="7">
        <v>0.0</v>
      </c>
      <c r="L84" s="7">
        <v>5.703923618</v>
      </c>
      <c r="M84" s="7">
        <v>0.02419218345</v>
      </c>
      <c r="N84" s="7">
        <v>99.44615394</v>
      </c>
      <c r="O84" s="7">
        <v>0.0</v>
      </c>
      <c r="P84" s="7">
        <v>0.538220742</v>
      </c>
      <c r="Q84" s="7">
        <v>0.01562531586</v>
      </c>
      <c r="R84" s="8">
        <f t="shared" si="4"/>
        <v>17</v>
      </c>
      <c r="S84" s="8">
        <f t="shared" si="60"/>
        <v>3989175.049</v>
      </c>
      <c r="T84" s="8">
        <f t="shared" si="61"/>
        <v>2371684.054</v>
      </c>
      <c r="U84" s="8">
        <f t="shared" si="7"/>
        <v>1617490.995</v>
      </c>
      <c r="V84" s="8">
        <f t="shared" ref="V84:W84" si="178">T84/1000</f>
        <v>2371.684054</v>
      </c>
      <c r="W84" s="8">
        <f t="shared" si="178"/>
        <v>1617.490995</v>
      </c>
      <c r="X84" s="8">
        <f t="shared" si="9"/>
        <v>40.5470047</v>
      </c>
      <c r="Y84" s="8">
        <f t="shared" si="10"/>
        <v>60</v>
      </c>
      <c r="Z84" s="8">
        <f t="shared" si="11"/>
        <v>41</v>
      </c>
      <c r="AA84" s="8">
        <f t="shared" si="12"/>
        <v>4</v>
      </c>
      <c r="AB84" s="8">
        <f t="shared" ref="AB84:AC84" si="179">ROUNDUP(V84/1000,0)</f>
        <v>3</v>
      </c>
      <c r="AC84" s="8">
        <f t="shared" si="179"/>
        <v>2</v>
      </c>
      <c r="AD84" s="8">
        <f t="shared" si="14"/>
        <v>97</v>
      </c>
      <c r="AE84" s="8">
        <f t="shared" si="15"/>
        <v>1</v>
      </c>
    </row>
    <row r="85" ht="22.5" customHeight="1">
      <c r="A85" s="7" t="s">
        <v>145</v>
      </c>
      <c r="B85" s="7" t="s">
        <v>47</v>
      </c>
      <c r="C85" s="7">
        <f t="shared" si="3"/>
        <v>3</v>
      </c>
      <c r="D85" s="7">
        <v>4033.962891</v>
      </c>
      <c r="E85" s="7">
        <v>42.84900284</v>
      </c>
      <c r="F85" s="7">
        <v>90.56996224</v>
      </c>
      <c r="G85" s="7">
        <v>1.519776762</v>
      </c>
      <c r="H85" s="7">
        <v>7.910260997</v>
      </c>
      <c r="I85" s="7">
        <v>0.0</v>
      </c>
      <c r="J85" s="7">
        <v>85.48103812</v>
      </c>
      <c r="K85" s="7">
        <v>1.52256302</v>
      </c>
      <c r="L85" s="7">
        <v>12.99639886</v>
      </c>
      <c r="M85" s="7">
        <v>0.0</v>
      </c>
      <c r="N85" s="7">
        <v>97.35744448</v>
      </c>
      <c r="O85" s="7">
        <v>1.516060408</v>
      </c>
      <c r="P85" s="7">
        <v>1.126495111</v>
      </c>
      <c r="Q85" s="7">
        <v>0.0</v>
      </c>
      <c r="R85" s="8">
        <f t="shared" si="4"/>
        <v>17</v>
      </c>
      <c r="S85" s="8">
        <f t="shared" si="60"/>
        <v>4033962.891</v>
      </c>
      <c r="T85" s="8">
        <f t="shared" si="61"/>
        <v>1728512.874</v>
      </c>
      <c r="U85" s="8">
        <f t="shared" si="7"/>
        <v>2305450.017</v>
      </c>
      <c r="V85" s="8">
        <f t="shared" ref="V85:W85" si="180">T85/1000</f>
        <v>1728.512874</v>
      </c>
      <c r="W85" s="8">
        <f t="shared" si="180"/>
        <v>2305.450017</v>
      </c>
      <c r="X85" s="8">
        <f t="shared" si="9"/>
        <v>57.15099716</v>
      </c>
      <c r="Y85" s="8">
        <f t="shared" si="10"/>
        <v>43</v>
      </c>
      <c r="Z85" s="8">
        <f t="shared" si="11"/>
        <v>58</v>
      </c>
      <c r="AA85" s="8">
        <f t="shared" si="12"/>
        <v>5</v>
      </c>
      <c r="AB85" s="8">
        <f t="shared" ref="AB85:AC85" si="181">ROUNDUP(V85/1000,0)</f>
        <v>2</v>
      </c>
      <c r="AC85" s="8">
        <f t="shared" si="181"/>
        <v>3</v>
      </c>
      <c r="AD85" s="8">
        <f t="shared" si="14"/>
        <v>91</v>
      </c>
      <c r="AE85" s="8">
        <f t="shared" si="15"/>
        <v>1</v>
      </c>
    </row>
    <row r="86" ht="22.5" customHeight="1">
      <c r="A86" s="7" t="s">
        <v>146</v>
      </c>
      <c r="B86" s="7" t="s">
        <v>44</v>
      </c>
      <c r="C86" s="7">
        <f t="shared" si="3"/>
        <v>4</v>
      </c>
      <c r="D86" s="7">
        <v>4105.268066</v>
      </c>
      <c r="E86" s="7">
        <v>57.55299759</v>
      </c>
      <c r="F86" s="7" t="s">
        <v>36</v>
      </c>
      <c r="G86" s="7" t="s">
        <v>36</v>
      </c>
      <c r="H86" s="7" t="s">
        <v>36</v>
      </c>
      <c r="I86" s="7" t="s">
        <v>36</v>
      </c>
      <c r="J86" s="7" t="s">
        <v>36</v>
      </c>
      <c r="K86" s="7" t="s">
        <v>36</v>
      </c>
      <c r="L86" s="7" t="s">
        <v>36</v>
      </c>
      <c r="M86" s="7" t="s">
        <v>36</v>
      </c>
      <c r="N86" s="7">
        <v>100.0</v>
      </c>
      <c r="O86" s="7">
        <v>0.0</v>
      </c>
      <c r="P86" s="7">
        <v>0.0</v>
      </c>
      <c r="Q86" s="7">
        <v>0.0</v>
      </c>
      <c r="R86" s="8">
        <f t="shared" si="4"/>
        <v>17</v>
      </c>
      <c r="S86" s="8">
        <f t="shared" si="60"/>
        <v>4105268.066</v>
      </c>
      <c r="T86" s="8">
        <f t="shared" si="61"/>
        <v>2362704.831</v>
      </c>
      <c r="U86" s="8">
        <f t="shared" si="7"/>
        <v>1742563.235</v>
      </c>
      <c r="V86" s="8">
        <f t="shared" ref="V86:W86" si="182">T86/1000</f>
        <v>2362.704831</v>
      </c>
      <c r="W86" s="8">
        <f t="shared" si="182"/>
        <v>1742.563235</v>
      </c>
      <c r="X86" s="8">
        <f t="shared" si="9"/>
        <v>42.44700241</v>
      </c>
      <c r="Y86" s="8">
        <f t="shared" si="10"/>
        <v>58</v>
      </c>
      <c r="Z86" s="8">
        <f t="shared" si="11"/>
        <v>43</v>
      </c>
      <c r="AA86" s="8">
        <f t="shared" si="12"/>
        <v>5</v>
      </c>
      <c r="AB86" s="8">
        <f t="shared" ref="AB86:AC86" si="183">ROUNDUP(V86/1000,0)</f>
        <v>3</v>
      </c>
      <c r="AC86" s="8">
        <f t="shared" si="183"/>
        <v>2</v>
      </c>
      <c r="AD86" s="7" t="s">
        <v>36</v>
      </c>
      <c r="AE86" s="8">
        <f t="shared" si="15"/>
        <v>1</v>
      </c>
    </row>
    <row r="87" ht="22.5" customHeight="1">
      <c r="A87" s="7" t="s">
        <v>147</v>
      </c>
      <c r="B87" s="7" t="s">
        <v>44</v>
      </c>
      <c r="C87" s="7">
        <f t="shared" si="3"/>
        <v>4</v>
      </c>
      <c r="D87" s="7">
        <v>4270.562988</v>
      </c>
      <c r="E87" s="7">
        <v>100.0</v>
      </c>
      <c r="F87" s="7">
        <v>100.0</v>
      </c>
      <c r="G87" s="7">
        <v>0.0</v>
      </c>
      <c r="H87" s="7">
        <v>0.0</v>
      </c>
      <c r="I87" s="7">
        <v>0.0</v>
      </c>
      <c r="J87" s="7" t="s">
        <v>36</v>
      </c>
      <c r="K87" s="7" t="s">
        <v>36</v>
      </c>
      <c r="L87" s="7" t="s">
        <v>36</v>
      </c>
      <c r="M87" s="7" t="s">
        <v>36</v>
      </c>
      <c r="N87" s="7" t="s">
        <v>36</v>
      </c>
      <c r="O87" s="7" t="s">
        <v>36</v>
      </c>
      <c r="P87" s="7" t="s">
        <v>36</v>
      </c>
      <c r="Q87" s="7" t="s">
        <v>36</v>
      </c>
      <c r="R87" s="8">
        <f t="shared" si="4"/>
        <v>17</v>
      </c>
      <c r="S87" s="8">
        <f t="shared" si="60"/>
        <v>4270562.988</v>
      </c>
      <c r="T87" s="8">
        <f t="shared" si="61"/>
        <v>4270562.988</v>
      </c>
      <c r="U87" s="8">
        <f t="shared" si="7"/>
        <v>0</v>
      </c>
      <c r="V87" s="8">
        <f t="shared" ref="V87:W87" si="184">T87/1000</f>
        <v>4270.562988</v>
      </c>
      <c r="W87" s="8">
        <f t="shared" si="184"/>
        <v>0</v>
      </c>
      <c r="X87" s="8">
        <f t="shared" si="9"/>
        <v>0</v>
      </c>
      <c r="Y87" s="8">
        <f t="shared" si="10"/>
        <v>100</v>
      </c>
      <c r="Z87" s="8">
        <f t="shared" si="11"/>
        <v>0</v>
      </c>
      <c r="AA87" s="8">
        <f t="shared" si="12"/>
        <v>5</v>
      </c>
      <c r="AB87" s="8">
        <f t="shared" ref="AB87:AC87" si="185">ROUNDUP(V87/1000,0)</f>
        <v>5</v>
      </c>
      <c r="AC87" s="8">
        <f t="shared" si="185"/>
        <v>0</v>
      </c>
      <c r="AD87" s="8">
        <f t="shared" ref="AD87:AD182" si="188">ROUND(F87,0)</f>
        <v>100</v>
      </c>
      <c r="AE87" s="8">
        <f t="shared" si="15"/>
        <v>1</v>
      </c>
    </row>
    <row r="88" ht="22.5" customHeight="1">
      <c r="A88" s="7" t="s">
        <v>148</v>
      </c>
      <c r="B88" s="7" t="s">
        <v>44</v>
      </c>
      <c r="C88" s="7">
        <f t="shared" si="3"/>
        <v>4</v>
      </c>
      <c r="D88" s="7">
        <v>4314.768066</v>
      </c>
      <c r="E88" s="7">
        <v>68.41400146</v>
      </c>
      <c r="F88" s="7">
        <v>94.37254436</v>
      </c>
      <c r="G88" s="7">
        <v>1.873480592</v>
      </c>
      <c r="H88" s="7">
        <v>2.262304247</v>
      </c>
      <c r="I88" s="7">
        <v>1.491670799</v>
      </c>
      <c r="J88" s="7">
        <v>86.32308326</v>
      </c>
      <c r="K88" s="7">
        <v>1.791982583</v>
      </c>
      <c r="L88" s="7">
        <v>7.162364342</v>
      </c>
      <c r="M88" s="7">
        <v>4.722569811</v>
      </c>
      <c r="N88" s="7">
        <v>98.08889267</v>
      </c>
      <c r="O88" s="7">
        <v>1.911107333</v>
      </c>
      <c r="P88" s="7">
        <v>0.0</v>
      </c>
      <c r="Q88" s="7">
        <v>0.0</v>
      </c>
      <c r="R88" s="8">
        <f t="shared" si="4"/>
        <v>17</v>
      </c>
      <c r="S88" s="8">
        <f t="shared" si="60"/>
        <v>4314768.066</v>
      </c>
      <c r="T88" s="8">
        <f t="shared" si="61"/>
        <v>2951905.488</v>
      </c>
      <c r="U88" s="8">
        <f t="shared" si="7"/>
        <v>1362862.578</v>
      </c>
      <c r="V88" s="8">
        <f t="shared" ref="V88:W88" si="186">T88/1000</f>
        <v>2951.905488</v>
      </c>
      <c r="W88" s="8">
        <f t="shared" si="186"/>
        <v>1362.862578</v>
      </c>
      <c r="X88" s="8">
        <f t="shared" si="9"/>
        <v>31.58599854</v>
      </c>
      <c r="Y88" s="8">
        <f t="shared" si="10"/>
        <v>69</v>
      </c>
      <c r="Z88" s="8">
        <f t="shared" si="11"/>
        <v>32</v>
      </c>
      <c r="AA88" s="8">
        <f t="shared" si="12"/>
        <v>5</v>
      </c>
      <c r="AB88" s="8">
        <f t="shared" ref="AB88:AC88" si="187">ROUNDUP(V88/1000,0)</f>
        <v>3</v>
      </c>
      <c r="AC88" s="8">
        <f t="shared" si="187"/>
        <v>2</v>
      </c>
      <c r="AD88" s="8">
        <f t="shared" si="188"/>
        <v>94</v>
      </c>
      <c r="AE88" s="8">
        <f t="shared" si="15"/>
        <v>1</v>
      </c>
    </row>
    <row r="89" ht="22.5" customHeight="1">
      <c r="A89" s="7" t="s">
        <v>149</v>
      </c>
      <c r="B89" s="7" t="s">
        <v>67</v>
      </c>
      <c r="C89" s="7">
        <f t="shared" si="3"/>
        <v>2</v>
      </c>
      <c r="D89" s="7">
        <v>4649.660156</v>
      </c>
      <c r="E89" s="7">
        <v>55.32699585</v>
      </c>
      <c r="F89" s="7">
        <v>71.68104923</v>
      </c>
      <c r="G89" s="7">
        <v>13.47689193</v>
      </c>
      <c r="H89" s="7">
        <v>14.82032681</v>
      </c>
      <c r="I89" s="7">
        <v>0.02173203433</v>
      </c>
      <c r="J89" s="7">
        <v>49.9113389</v>
      </c>
      <c r="K89" s="7">
        <v>18.49039689</v>
      </c>
      <c r="L89" s="7">
        <v>31.5496173</v>
      </c>
      <c r="M89" s="7">
        <v>0.04864690722</v>
      </c>
      <c r="N89" s="7">
        <v>89.25869465</v>
      </c>
      <c r="O89" s="7">
        <v>9.428808083</v>
      </c>
      <c r="P89" s="7">
        <v>1.31249727</v>
      </c>
      <c r="Q89" s="7">
        <v>0.0</v>
      </c>
      <c r="R89" s="8">
        <f t="shared" si="4"/>
        <v>17</v>
      </c>
      <c r="S89" s="8">
        <f t="shared" si="60"/>
        <v>4649660.156</v>
      </c>
      <c r="T89" s="8">
        <f t="shared" si="61"/>
        <v>2572517.282</v>
      </c>
      <c r="U89" s="8">
        <f t="shared" si="7"/>
        <v>2077142.874</v>
      </c>
      <c r="V89" s="8">
        <f t="shared" ref="V89:W89" si="189">T89/1000</f>
        <v>2572.517282</v>
      </c>
      <c r="W89" s="8">
        <f t="shared" si="189"/>
        <v>2077.142874</v>
      </c>
      <c r="X89" s="8">
        <f t="shared" si="9"/>
        <v>44.67300415</v>
      </c>
      <c r="Y89" s="8">
        <f t="shared" si="10"/>
        <v>56</v>
      </c>
      <c r="Z89" s="8">
        <f t="shared" si="11"/>
        <v>45</v>
      </c>
      <c r="AA89" s="8">
        <f t="shared" si="12"/>
        <v>5</v>
      </c>
      <c r="AB89" s="8">
        <f t="shared" ref="AB89:AC89" si="190">ROUNDUP(V89/1000,0)</f>
        <v>3</v>
      </c>
      <c r="AC89" s="8">
        <f t="shared" si="190"/>
        <v>3</v>
      </c>
      <c r="AD89" s="8">
        <f t="shared" si="188"/>
        <v>72</v>
      </c>
      <c r="AE89" s="8">
        <f t="shared" si="15"/>
        <v>1</v>
      </c>
    </row>
    <row r="90" ht="22.5" customHeight="1">
      <c r="A90" s="7" t="s">
        <v>150</v>
      </c>
      <c r="B90" s="7" t="s">
        <v>44</v>
      </c>
      <c r="C90" s="7">
        <f t="shared" si="3"/>
        <v>4</v>
      </c>
      <c r="D90" s="7">
        <v>4822.23291</v>
      </c>
      <c r="E90" s="7">
        <v>86.6989975</v>
      </c>
      <c r="F90" s="7">
        <v>100.0000013</v>
      </c>
      <c r="G90" s="7">
        <v>0.0</v>
      </c>
      <c r="H90" s="7">
        <v>0.0</v>
      </c>
      <c r="I90" s="7">
        <v>0.0</v>
      </c>
      <c r="J90" s="7">
        <v>100.0</v>
      </c>
      <c r="K90" s="7">
        <v>0.0</v>
      </c>
      <c r="L90" s="7">
        <v>0.0</v>
      </c>
      <c r="M90" s="7">
        <v>0.0</v>
      </c>
      <c r="N90" s="7">
        <v>100.0</v>
      </c>
      <c r="O90" s="7">
        <v>0.0</v>
      </c>
      <c r="P90" s="7">
        <v>0.0</v>
      </c>
      <c r="Q90" s="7">
        <v>0.0</v>
      </c>
      <c r="R90" s="8">
        <f t="shared" si="4"/>
        <v>17</v>
      </c>
      <c r="S90" s="8">
        <f t="shared" si="60"/>
        <v>4822232.91</v>
      </c>
      <c r="T90" s="8">
        <f t="shared" si="61"/>
        <v>4180827.59</v>
      </c>
      <c r="U90" s="8">
        <f t="shared" si="7"/>
        <v>641405.3199</v>
      </c>
      <c r="V90" s="8">
        <f t="shared" ref="V90:W90" si="191">T90/1000</f>
        <v>4180.82759</v>
      </c>
      <c r="W90" s="8">
        <f t="shared" si="191"/>
        <v>641.4053199</v>
      </c>
      <c r="X90" s="8">
        <f t="shared" si="9"/>
        <v>13.3010025</v>
      </c>
      <c r="Y90" s="8">
        <f t="shared" si="10"/>
        <v>87</v>
      </c>
      <c r="Z90" s="8">
        <f t="shared" si="11"/>
        <v>14</v>
      </c>
      <c r="AA90" s="8">
        <f t="shared" si="12"/>
        <v>5</v>
      </c>
      <c r="AB90" s="8">
        <f t="shared" ref="AB90:AC90" si="192">ROUNDUP(V90/1000,0)</f>
        <v>5</v>
      </c>
      <c r="AC90" s="8">
        <f t="shared" si="192"/>
        <v>1</v>
      </c>
      <c r="AD90" s="8">
        <f t="shared" si="188"/>
        <v>100</v>
      </c>
      <c r="AE90" s="8">
        <f t="shared" si="15"/>
        <v>1</v>
      </c>
    </row>
    <row r="91" ht="22.5" customHeight="1">
      <c r="A91" s="7" t="s">
        <v>151</v>
      </c>
      <c r="B91" s="7" t="s">
        <v>118</v>
      </c>
      <c r="C91" s="7">
        <f t="shared" si="3"/>
        <v>1</v>
      </c>
      <c r="D91" s="7">
        <v>4829.76416</v>
      </c>
      <c r="E91" s="7">
        <v>42.19799805</v>
      </c>
      <c r="F91" s="7">
        <v>37.20240205</v>
      </c>
      <c r="G91" s="7">
        <v>25.68237348</v>
      </c>
      <c r="H91" s="7">
        <v>33.53911377</v>
      </c>
      <c r="I91" s="7">
        <v>3.576110708</v>
      </c>
      <c r="J91" s="7">
        <v>28.10659415</v>
      </c>
      <c r="K91" s="7">
        <v>19.4058899</v>
      </c>
      <c r="L91" s="7">
        <v>46.37307301</v>
      </c>
      <c r="M91" s="7">
        <v>6.114442944</v>
      </c>
      <c r="N91" s="7">
        <v>49.66166495</v>
      </c>
      <c r="O91" s="7">
        <v>34.27978009</v>
      </c>
      <c r="P91" s="7">
        <v>15.95940214</v>
      </c>
      <c r="Q91" s="7">
        <v>0.09915281712</v>
      </c>
      <c r="R91" s="8">
        <f t="shared" si="4"/>
        <v>17</v>
      </c>
      <c r="S91" s="8">
        <f t="shared" si="60"/>
        <v>4829764.16</v>
      </c>
      <c r="T91" s="8">
        <f t="shared" si="61"/>
        <v>2038063.786</v>
      </c>
      <c r="U91" s="8">
        <f t="shared" si="7"/>
        <v>2791700.374</v>
      </c>
      <c r="V91" s="8">
        <f t="shared" ref="V91:W91" si="193">T91/1000</f>
        <v>2038.063786</v>
      </c>
      <c r="W91" s="8">
        <f t="shared" si="193"/>
        <v>2791.700374</v>
      </c>
      <c r="X91" s="8">
        <f t="shared" si="9"/>
        <v>57.80200195</v>
      </c>
      <c r="Y91" s="8">
        <f t="shared" si="10"/>
        <v>43</v>
      </c>
      <c r="Z91" s="8">
        <f t="shared" si="11"/>
        <v>58</v>
      </c>
      <c r="AA91" s="8">
        <f t="shared" si="12"/>
        <v>5</v>
      </c>
      <c r="AB91" s="8">
        <f t="shared" ref="AB91:AC91" si="194">ROUNDUP(V91/1000,0)</f>
        <v>3</v>
      </c>
      <c r="AC91" s="8">
        <f t="shared" si="194"/>
        <v>3</v>
      </c>
      <c r="AD91" s="8">
        <f t="shared" si="188"/>
        <v>37</v>
      </c>
      <c r="AE91" s="8">
        <f t="shared" si="15"/>
        <v>1</v>
      </c>
    </row>
    <row r="92" ht="22.5" customHeight="1">
      <c r="A92" s="7" t="s">
        <v>152</v>
      </c>
      <c r="B92" s="7" t="s">
        <v>44</v>
      </c>
      <c r="C92" s="7">
        <f t="shared" si="3"/>
        <v>4</v>
      </c>
      <c r="D92" s="7">
        <v>4937.795898</v>
      </c>
      <c r="E92" s="7">
        <v>63.65299988</v>
      </c>
      <c r="F92" s="7">
        <v>97.39970651</v>
      </c>
      <c r="G92" s="7">
        <v>0.0</v>
      </c>
      <c r="H92" s="7">
        <v>2.600293485</v>
      </c>
      <c r="I92" s="7">
        <v>0.0</v>
      </c>
      <c r="J92" s="7">
        <v>98.13492075</v>
      </c>
      <c r="K92" s="7">
        <v>0.0</v>
      </c>
      <c r="L92" s="7">
        <v>1.865079247</v>
      </c>
      <c r="M92" s="7">
        <v>0.0</v>
      </c>
      <c r="N92" s="7">
        <v>96.97988603</v>
      </c>
      <c r="O92" s="7">
        <v>0.0</v>
      </c>
      <c r="P92" s="7">
        <v>3.020113966</v>
      </c>
      <c r="Q92" s="7">
        <v>0.0</v>
      </c>
      <c r="R92" s="8">
        <f t="shared" si="4"/>
        <v>17</v>
      </c>
      <c r="S92" s="8">
        <f t="shared" si="60"/>
        <v>4937795.898</v>
      </c>
      <c r="T92" s="8">
        <f t="shared" si="61"/>
        <v>3143055.217</v>
      </c>
      <c r="U92" s="8">
        <f t="shared" si="7"/>
        <v>1794740.681</v>
      </c>
      <c r="V92" s="8">
        <f t="shared" ref="V92:W92" si="195">T92/1000</f>
        <v>3143.055217</v>
      </c>
      <c r="W92" s="8">
        <f t="shared" si="195"/>
        <v>1794.740681</v>
      </c>
      <c r="X92" s="8">
        <f t="shared" si="9"/>
        <v>36.34700012</v>
      </c>
      <c r="Y92" s="8">
        <f t="shared" si="10"/>
        <v>64</v>
      </c>
      <c r="Z92" s="8">
        <f t="shared" si="11"/>
        <v>37</v>
      </c>
      <c r="AA92" s="8">
        <f t="shared" si="12"/>
        <v>5</v>
      </c>
      <c r="AB92" s="8">
        <f t="shared" ref="AB92:AC92" si="196">ROUNDUP(V92/1000,0)</f>
        <v>4</v>
      </c>
      <c r="AC92" s="8">
        <f t="shared" si="196"/>
        <v>2</v>
      </c>
      <c r="AD92" s="8">
        <f t="shared" si="188"/>
        <v>97</v>
      </c>
      <c r="AE92" s="8">
        <f t="shared" si="15"/>
        <v>1</v>
      </c>
    </row>
    <row r="93" ht="22.5" customHeight="1">
      <c r="A93" s="7" t="s">
        <v>153</v>
      </c>
      <c r="B93" s="7" t="s">
        <v>118</v>
      </c>
      <c r="C93" s="7">
        <f t="shared" si="3"/>
        <v>1</v>
      </c>
      <c r="D93" s="7">
        <v>5057.676758</v>
      </c>
      <c r="E93" s="7">
        <v>52.08899689</v>
      </c>
      <c r="F93" s="7">
        <v>75.26179159</v>
      </c>
      <c r="G93" s="7">
        <v>8.700657475</v>
      </c>
      <c r="H93" s="7">
        <v>3.488080869</v>
      </c>
      <c r="I93" s="7">
        <v>12.54947006</v>
      </c>
      <c r="J93" s="7">
        <v>64.10021689</v>
      </c>
      <c r="K93" s="7">
        <v>6.537775797</v>
      </c>
      <c r="L93" s="7">
        <v>3.383709875</v>
      </c>
      <c r="M93" s="7">
        <v>25.97829744</v>
      </c>
      <c r="N93" s="7">
        <v>85.52810963</v>
      </c>
      <c r="O93" s="7">
        <v>10.69005698</v>
      </c>
      <c r="P93" s="7">
        <v>3.58408039</v>
      </c>
      <c r="Q93" s="7">
        <v>0.1977530006</v>
      </c>
      <c r="R93" s="8">
        <f t="shared" si="4"/>
        <v>17</v>
      </c>
      <c r="S93" s="8">
        <f t="shared" si="60"/>
        <v>5057676.758</v>
      </c>
      <c r="T93" s="8">
        <f t="shared" si="61"/>
        <v>2634493.089</v>
      </c>
      <c r="U93" s="8">
        <f t="shared" si="7"/>
        <v>2423183.669</v>
      </c>
      <c r="V93" s="8">
        <f t="shared" ref="V93:W93" si="197">T93/1000</f>
        <v>2634.493089</v>
      </c>
      <c r="W93" s="8">
        <f t="shared" si="197"/>
        <v>2423.183669</v>
      </c>
      <c r="X93" s="8">
        <f t="shared" si="9"/>
        <v>47.91100311</v>
      </c>
      <c r="Y93" s="8">
        <f t="shared" si="10"/>
        <v>53</v>
      </c>
      <c r="Z93" s="8">
        <f t="shared" si="11"/>
        <v>48</v>
      </c>
      <c r="AA93" s="8">
        <f t="shared" si="12"/>
        <v>6</v>
      </c>
      <c r="AB93" s="8">
        <f t="shared" ref="AB93:AC93" si="198">ROUNDUP(V93/1000,0)</f>
        <v>3</v>
      </c>
      <c r="AC93" s="8">
        <f t="shared" si="198"/>
        <v>3</v>
      </c>
      <c r="AD93" s="8">
        <f t="shared" si="188"/>
        <v>75</v>
      </c>
      <c r="AE93" s="8">
        <f t="shared" si="15"/>
        <v>1</v>
      </c>
    </row>
    <row r="94" ht="22.5" customHeight="1">
      <c r="A94" s="7" t="s">
        <v>154</v>
      </c>
      <c r="B94" s="7" t="s">
        <v>47</v>
      </c>
      <c r="C94" s="7">
        <f t="shared" si="3"/>
        <v>3</v>
      </c>
      <c r="D94" s="7">
        <v>5094.11377</v>
      </c>
      <c r="E94" s="7">
        <v>80.77099609</v>
      </c>
      <c r="F94" s="7">
        <v>99.81053693</v>
      </c>
      <c r="G94" s="7">
        <v>0.1894594746</v>
      </c>
      <c r="H94" s="7">
        <v>3.594451897E-6</v>
      </c>
      <c r="I94" s="7">
        <v>0.0</v>
      </c>
      <c r="J94" s="7">
        <v>99.64625</v>
      </c>
      <c r="K94" s="7">
        <v>0.35375</v>
      </c>
      <c r="L94" s="7">
        <v>0.0</v>
      </c>
      <c r="M94" s="7">
        <v>0.0</v>
      </c>
      <c r="N94" s="7">
        <v>99.84965286</v>
      </c>
      <c r="O94" s="7">
        <v>0.1503471429</v>
      </c>
      <c r="P94" s="7">
        <v>0.0</v>
      </c>
      <c r="Q94" s="7">
        <v>0.0</v>
      </c>
      <c r="R94" s="8">
        <f t="shared" si="4"/>
        <v>17</v>
      </c>
      <c r="S94" s="8">
        <f t="shared" si="60"/>
        <v>5094113.77</v>
      </c>
      <c r="T94" s="8">
        <f t="shared" si="61"/>
        <v>4114566.434</v>
      </c>
      <c r="U94" s="8">
        <f t="shared" si="7"/>
        <v>979547.336</v>
      </c>
      <c r="V94" s="8">
        <f t="shared" ref="V94:W94" si="199">T94/1000</f>
        <v>4114.566434</v>
      </c>
      <c r="W94" s="8">
        <f t="shared" si="199"/>
        <v>979.547336</v>
      </c>
      <c r="X94" s="8">
        <f t="shared" si="9"/>
        <v>19.22900391</v>
      </c>
      <c r="Y94" s="8">
        <f t="shared" si="10"/>
        <v>81</v>
      </c>
      <c r="Z94" s="8">
        <f t="shared" si="11"/>
        <v>20</v>
      </c>
      <c r="AA94" s="8">
        <f t="shared" si="12"/>
        <v>6</v>
      </c>
      <c r="AB94" s="8">
        <f t="shared" ref="AB94:AC94" si="200">ROUNDUP(V94/1000,0)</f>
        <v>5</v>
      </c>
      <c r="AC94" s="8">
        <f t="shared" si="200"/>
        <v>1</v>
      </c>
      <c r="AD94" s="8">
        <f t="shared" si="188"/>
        <v>100</v>
      </c>
      <c r="AE94" s="8">
        <f t="shared" si="15"/>
        <v>1</v>
      </c>
    </row>
    <row r="95" ht="22.5" customHeight="1">
      <c r="A95" s="7" t="s">
        <v>155</v>
      </c>
      <c r="B95" s="7" t="s">
        <v>67</v>
      </c>
      <c r="C95" s="7">
        <f t="shared" si="3"/>
        <v>2</v>
      </c>
      <c r="D95" s="7">
        <v>5101.416016</v>
      </c>
      <c r="E95" s="7">
        <v>76.71899414</v>
      </c>
      <c r="F95" s="7">
        <v>97.88039722</v>
      </c>
      <c r="G95" s="7">
        <v>1.029979486</v>
      </c>
      <c r="H95" s="7">
        <v>1.089623295</v>
      </c>
      <c r="I95" s="7" t="s">
        <v>36</v>
      </c>
      <c r="J95" s="7">
        <v>98.71555642</v>
      </c>
      <c r="K95" s="7">
        <v>0.3174006273</v>
      </c>
      <c r="L95" s="7">
        <v>0.9670429576</v>
      </c>
      <c r="M95" s="7" t="s">
        <v>36</v>
      </c>
      <c r="N95" s="7">
        <v>97.62696443</v>
      </c>
      <c r="O95" s="7">
        <v>1.246217358</v>
      </c>
      <c r="P95" s="7">
        <v>1.126818208</v>
      </c>
      <c r="Q95" s="7" t="s">
        <v>36</v>
      </c>
      <c r="R95" s="8">
        <f t="shared" si="4"/>
        <v>17</v>
      </c>
      <c r="S95" s="8">
        <f t="shared" si="60"/>
        <v>5101416.016</v>
      </c>
      <c r="T95" s="8">
        <f t="shared" si="61"/>
        <v>3913755.054</v>
      </c>
      <c r="U95" s="8">
        <f t="shared" si="7"/>
        <v>1187660.962</v>
      </c>
      <c r="V95" s="8">
        <f t="shared" ref="V95:W95" si="201">T95/1000</f>
        <v>3913.755054</v>
      </c>
      <c r="W95" s="8">
        <f t="shared" si="201"/>
        <v>1187.660962</v>
      </c>
      <c r="X95" s="8">
        <f t="shared" si="9"/>
        <v>23.28100586</v>
      </c>
      <c r="Y95" s="8">
        <f t="shared" si="10"/>
        <v>77</v>
      </c>
      <c r="Z95" s="8">
        <f t="shared" si="11"/>
        <v>24</v>
      </c>
      <c r="AA95" s="8">
        <f t="shared" si="12"/>
        <v>6</v>
      </c>
      <c r="AB95" s="8">
        <f t="shared" ref="AB95:AC95" si="202">ROUNDUP(V95/1000,0)</f>
        <v>4</v>
      </c>
      <c r="AC95" s="8">
        <f t="shared" si="202"/>
        <v>2</v>
      </c>
      <c r="AD95" s="8">
        <f t="shared" si="188"/>
        <v>98</v>
      </c>
      <c r="AE95" s="8">
        <f t="shared" si="15"/>
        <v>1</v>
      </c>
    </row>
    <row r="96" ht="22.5" customHeight="1">
      <c r="A96" s="7" t="s">
        <v>156</v>
      </c>
      <c r="B96" s="7" t="s">
        <v>44</v>
      </c>
      <c r="C96" s="7">
        <f t="shared" si="3"/>
        <v>4</v>
      </c>
      <c r="D96" s="7">
        <v>5106.62207</v>
      </c>
      <c r="E96" s="7">
        <v>86.27599335</v>
      </c>
      <c r="F96" s="7">
        <v>92.16802469</v>
      </c>
      <c r="G96" s="7">
        <v>7.541419893</v>
      </c>
      <c r="H96" s="7">
        <v>0.2604052036</v>
      </c>
      <c r="I96" s="7">
        <v>0.03015021745</v>
      </c>
      <c r="J96" s="7">
        <v>76.25077991</v>
      </c>
      <c r="K96" s="7">
        <v>21.63212113</v>
      </c>
      <c r="L96" s="7">
        <v>1.897409218</v>
      </c>
      <c r="M96" s="7">
        <v>0.2196897375</v>
      </c>
      <c r="N96" s="7">
        <v>94.7</v>
      </c>
      <c r="O96" s="7">
        <v>5.3</v>
      </c>
      <c r="P96" s="7">
        <v>0.0</v>
      </c>
      <c r="Q96" s="7">
        <v>0.0</v>
      </c>
      <c r="R96" s="8">
        <f t="shared" si="4"/>
        <v>17</v>
      </c>
      <c r="S96" s="8">
        <f t="shared" si="60"/>
        <v>5106622.07</v>
      </c>
      <c r="T96" s="8">
        <f t="shared" si="61"/>
        <v>4405788.918</v>
      </c>
      <c r="U96" s="8">
        <f t="shared" si="7"/>
        <v>700833.1525</v>
      </c>
      <c r="V96" s="8">
        <f t="shared" ref="V96:W96" si="203">T96/1000</f>
        <v>4405.788918</v>
      </c>
      <c r="W96" s="8">
        <f t="shared" si="203"/>
        <v>700.8331525</v>
      </c>
      <c r="X96" s="8">
        <f t="shared" si="9"/>
        <v>13.72400665</v>
      </c>
      <c r="Y96" s="8">
        <f t="shared" si="10"/>
        <v>87</v>
      </c>
      <c r="Z96" s="8">
        <f t="shared" si="11"/>
        <v>14</v>
      </c>
      <c r="AA96" s="8">
        <f t="shared" si="12"/>
        <v>6</v>
      </c>
      <c r="AB96" s="8">
        <f t="shared" ref="AB96:AC96" si="204">ROUNDUP(V96/1000,0)</f>
        <v>5</v>
      </c>
      <c r="AC96" s="8">
        <f t="shared" si="204"/>
        <v>1</v>
      </c>
      <c r="AD96" s="8">
        <f t="shared" si="188"/>
        <v>92</v>
      </c>
      <c r="AE96" s="8">
        <f t="shared" si="15"/>
        <v>1</v>
      </c>
    </row>
    <row r="97" ht="22.5" customHeight="1">
      <c r="A97" s="7" t="s">
        <v>157</v>
      </c>
      <c r="B97" s="7" t="s">
        <v>44</v>
      </c>
      <c r="C97" s="7">
        <f t="shared" si="3"/>
        <v>4</v>
      </c>
      <c r="D97" s="7">
        <v>5421.242188</v>
      </c>
      <c r="E97" s="7">
        <v>82.97399139</v>
      </c>
      <c r="F97" s="7">
        <v>99.9999955</v>
      </c>
      <c r="G97" s="7">
        <v>0.0</v>
      </c>
      <c r="H97" s="7">
        <v>4.503407453E-6</v>
      </c>
      <c r="I97" s="7">
        <v>0.0</v>
      </c>
      <c r="J97" s="7">
        <v>100.0</v>
      </c>
      <c r="K97" s="7">
        <v>0.0</v>
      </c>
      <c r="L97" s="7">
        <v>0.0</v>
      </c>
      <c r="M97" s="7">
        <v>0.0</v>
      </c>
      <c r="N97" s="7">
        <v>100.0</v>
      </c>
      <c r="O97" s="7">
        <v>0.0</v>
      </c>
      <c r="P97" s="7">
        <v>0.0</v>
      </c>
      <c r="Q97" s="7">
        <v>0.0</v>
      </c>
      <c r="R97" s="8">
        <f t="shared" si="4"/>
        <v>17</v>
      </c>
      <c r="S97" s="8">
        <f t="shared" si="60"/>
        <v>5421242.188</v>
      </c>
      <c r="T97" s="8">
        <f t="shared" si="61"/>
        <v>4498221.026</v>
      </c>
      <c r="U97" s="8">
        <f t="shared" si="7"/>
        <v>923021.1617</v>
      </c>
      <c r="V97" s="8">
        <f t="shared" ref="V97:W97" si="205">T97/1000</f>
        <v>4498.221026</v>
      </c>
      <c r="W97" s="8">
        <f t="shared" si="205"/>
        <v>923.0211617</v>
      </c>
      <c r="X97" s="8">
        <f t="shared" si="9"/>
        <v>17.02600861</v>
      </c>
      <c r="Y97" s="8">
        <f t="shared" si="10"/>
        <v>83</v>
      </c>
      <c r="Z97" s="8">
        <f t="shared" si="11"/>
        <v>18</v>
      </c>
      <c r="AA97" s="8">
        <f t="shared" si="12"/>
        <v>6</v>
      </c>
      <c r="AB97" s="8">
        <f t="shared" ref="AB97:AC97" si="206">ROUNDUP(V97/1000,0)</f>
        <v>5</v>
      </c>
      <c r="AC97" s="8">
        <f t="shared" si="206"/>
        <v>1</v>
      </c>
      <c r="AD97" s="8">
        <f t="shared" si="188"/>
        <v>100</v>
      </c>
      <c r="AE97" s="8">
        <f t="shared" si="15"/>
        <v>1</v>
      </c>
    </row>
    <row r="98" ht="22.5" customHeight="1">
      <c r="A98" s="7" t="s">
        <v>158</v>
      </c>
      <c r="B98" s="7" t="s">
        <v>44</v>
      </c>
      <c r="C98" s="7">
        <f t="shared" si="3"/>
        <v>4</v>
      </c>
      <c r="D98" s="7">
        <v>5459.643066</v>
      </c>
      <c r="E98" s="7">
        <v>53.75999832</v>
      </c>
      <c r="F98" s="7">
        <v>99.78769858</v>
      </c>
      <c r="G98" s="7">
        <v>0.2123014241</v>
      </c>
      <c r="H98" s="7">
        <v>0.0</v>
      </c>
      <c r="I98" s="7">
        <v>0.0</v>
      </c>
      <c r="J98" s="7">
        <v>100.0</v>
      </c>
      <c r="K98" s="7">
        <v>0.0</v>
      </c>
      <c r="L98" s="7">
        <v>0.0</v>
      </c>
      <c r="M98" s="7">
        <v>0.0</v>
      </c>
      <c r="N98" s="7">
        <v>99.60509406</v>
      </c>
      <c r="O98" s="7">
        <v>0.3949059374</v>
      </c>
      <c r="P98" s="7">
        <v>0.0</v>
      </c>
      <c r="Q98" s="7">
        <v>0.0</v>
      </c>
      <c r="R98" s="8">
        <f t="shared" si="4"/>
        <v>17</v>
      </c>
      <c r="S98" s="8">
        <f t="shared" si="60"/>
        <v>5459643.066</v>
      </c>
      <c r="T98" s="8">
        <f t="shared" si="61"/>
        <v>2935104.021</v>
      </c>
      <c r="U98" s="8">
        <f t="shared" si="7"/>
        <v>2524539.045</v>
      </c>
      <c r="V98" s="8">
        <f t="shared" ref="V98:W98" si="207">T98/1000</f>
        <v>2935.104021</v>
      </c>
      <c r="W98" s="8">
        <f t="shared" si="207"/>
        <v>2524.539045</v>
      </c>
      <c r="X98" s="8">
        <f t="shared" si="9"/>
        <v>46.24000168</v>
      </c>
      <c r="Y98" s="8">
        <f t="shared" si="10"/>
        <v>54</v>
      </c>
      <c r="Z98" s="8">
        <f t="shared" si="11"/>
        <v>47</v>
      </c>
      <c r="AA98" s="8">
        <f t="shared" si="12"/>
        <v>6</v>
      </c>
      <c r="AB98" s="8">
        <f t="shared" ref="AB98:AC98" si="208">ROUNDUP(V98/1000,0)</f>
        <v>3</v>
      </c>
      <c r="AC98" s="8">
        <f t="shared" si="208"/>
        <v>3</v>
      </c>
      <c r="AD98" s="8">
        <f t="shared" si="188"/>
        <v>100</v>
      </c>
      <c r="AE98" s="8">
        <f t="shared" si="15"/>
        <v>1</v>
      </c>
    </row>
    <row r="99" ht="22.5" customHeight="1">
      <c r="A99" s="7" t="s">
        <v>159</v>
      </c>
      <c r="B99" s="7" t="s">
        <v>67</v>
      </c>
      <c r="C99" s="7">
        <f t="shared" si="3"/>
        <v>2</v>
      </c>
      <c r="D99" s="7">
        <v>5518.091797</v>
      </c>
      <c r="E99" s="7">
        <v>67.82900238</v>
      </c>
      <c r="F99" s="7">
        <v>73.78451158</v>
      </c>
      <c r="G99" s="7">
        <v>10.46117203</v>
      </c>
      <c r="H99" s="7">
        <v>9.559180722</v>
      </c>
      <c r="I99" s="7">
        <v>6.195135664</v>
      </c>
      <c r="J99" s="7">
        <v>45.72441318</v>
      </c>
      <c r="K99" s="7">
        <v>10.6323901</v>
      </c>
      <c r="L99" s="7">
        <v>24.40516973</v>
      </c>
      <c r="M99" s="7">
        <v>19.23802699</v>
      </c>
      <c r="N99" s="7">
        <v>87.09329616</v>
      </c>
      <c r="O99" s="7">
        <v>10.37996439</v>
      </c>
      <c r="P99" s="7">
        <v>2.517789997</v>
      </c>
      <c r="Q99" s="7">
        <v>0.008949452055</v>
      </c>
      <c r="R99" s="8">
        <f t="shared" si="4"/>
        <v>17</v>
      </c>
      <c r="S99" s="8">
        <f t="shared" si="60"/>
        <v>5518091.797</v>
      </c>
      <c r="T99" s="8">
        <f t="shared" si="61"/>
        <v>3742866.616</v>
      </c>
      <c r="U99" s="8">
        <f t="shared" si="7"/>
        <v>1775225.181</v>
      </c>
      <c r="V99" s="8">
        <f t="shared" ref="V99:W99" si="209">T99/1000</f>
        <v>3742.866616</v>
      </c>
      <c r="W99" s="8">
        <f t="shared" si="209"/>
        <v>1775.225181</v>
      </c>
      <c r="X99" s="8">
        <f t="shared" si="9"/>
        <v>32.17099762</v>
      </c>
      <c r="Y99" s="8">
        <f t="shared" si="10"/>
        <v>68</v>
      </c>
      <c r="Z99" s="8">
        <f t="shared" si="11"/>
        <v>33</v>
      </c>
      <c r="AA99" s="8">
        <f t="shared" si="12"/>
        <v>6</v>
      </c>
      <c r="AB99" s="8">
        <f t="shared" ref="AB99:AC99" si="210">ROUNDUP(V99/1000,0)</f>
        <v>4</v>
      </c>
      <c r="AC99" s="8">
        <f t="shared" si="210"/>
        <v>2</v>
      </c>
      <c r="AD99" s="8">
        <f t="shared" si="188"/>
        <v>74</v>
      </c>
      <c r="AE99" s="8">
        <f t="shared" si="15"/>
        <v>1</v>
      </c>
    </row>
    <row r="100" ht="22.5" customHeight="1">
      <c r="A100" s="7" t="s">
        <v>160</v>
      </c>
      <c r="B100" s="7" t="s">
        <v>44</v>
      </c>
      <c r="C100" s="7">
        <f t="shared" si="3"/>
        <v>4</v>
      </c>
      <c r="D100" s="7">
        <v>5540.717773</v>
      </c>
      <c r="E100" s="7">
        <v>85.51700592</v>
      </c>
      <c r="F100" s="7">
        <v>100.0000033</v>
      </c>
      <c r="G100" s="7">
        <v>0.0</v>
      </c>
      <c r="H100" s="7">
        <v>0.0</v>
      </c>
      <c r="I100" s="7">
        <v>0.0</v>
      </c>
      <c r="J100" s="7">
        <v>100.0</v>
      </c>
      <c r="K100" s="7">
        <v>0.0</v>
      </c>
      <c r="L100" s="7">
        <v>0.0</v>
      </c>
      <c r="M100" s="7">
        <v>0.0</v>
      </c>
      <c r="N100" s="7">
        <v>100.0</v>
      </c>
      <c r="O100" s="7">
        <v>0.0</v>
      </c>
      <c r="P100" s="7">
        <v>0.0</v>
      </c>
      <c r="Q100" s="7">
        <v>0.0</v>
      </c>
      <c r="R100" s="8">
        <f t="shared" si="4"/>
        <v>17</v>
      </c>
      <c r="S100" s="8">
        <f t="shared" si="60"/>
        <v>5540717.773</v>
      </c>
      <c r="T100" s="8">
        <f t="shared" si="61"/>
        <v>4738255.946</v>
      </c>
      <c r="U100" s="8">
        <f t="shared" si="7"/>
        <v>802461.8271</v>
      </c>
      <c r="V100" s="8">
        <f t="shared" ref="V100:W100" si="211">T100/1000</f>
        <v>4738.255946</v>
      </c>
      <c r="W100" s="8">
        <f t="shared" si="211"/>
        <v>802.4618271</v>
      </c>
      <c r="X100" s="8">
        <f t="shared" si="9"/>
        <v>14.48299408</v>
      </c>
      <c r="Y100" s="8">
        <f t="shared" si="10"/>
        <v>86</v>
      </c>
      <c r="Z100" s="8">
        <f t="shared" si="11"/>
        <v>15</v>
      </c>
      <c r="AA100" s="8">
        <f t="shared" si="12"/>
        <v>6</v>
      </c>
      <c r="AB100" s="8">
        <f t="shared" ref="AB100:AC100" si="212">ROUNDUP(V100/1000,0)</f>
        <v>5</v>
      </c>
      <c r="AC100" s="8">
        <f t="shared" si="212"/>
        <v>1</v>
      </c>
      <c r="AD100" s="8">
        <f t="shared" si="188"/>
        <v>100</v>
      </c>
      <c r="AE100" s="8">
        <f t="shared" si="15"/>
        <v>1</v>
      </c>
    </row>
    <row r="101" ht="22.5" customHeight="1">
      <c r="A101" s="7" t="s">
        <v>161</v>
      </c>
      <c r="B101" s="7" t="s">
        <v>44</v>
      </c>
      <c r="C101" s="7">
        <f t="shared" si="3"/>
        <v>4</v>
      </c>
      <c r="D101" s="7">
        <v>5792.203125</v>
      </c>
      <c r="E101" s="7">
        <v>88.11600494</v>
      </c>
      <c r="F101" s="7">
        <v>100.0000011</v>
      </c>
      <c r="G101" s="7">
        <v>0.0</v>
      </c>
      <c r="H101" s="7">
        <v>0.0</v>
      </c>
      <c r="I101" s="7">
        <v>0.0</v>
      </c>
      <c r="J101" s="7">
        <v>100.0</v>
      </c>
      <c r="K101" s="7">
        <v>0.0</v>
      </c>
      <c r="L101" s="7">
        <v>0.0</v>
      </c>
      <c r="M101" s="7">
        <v>0.0</v>
      </c>
      <c r="N101" s="7">
        <v>100.0</v>
      </c>
      <c r="O101" s="7">
        <v>0.0</v>
      </c>
      <c r="P101" s="7">
        <v>0.0</v>
      </c>
      <c r="Q101" s="7">
        <v>0.0</v>
      </c>
      <c r="R101" s="8">
        <f t="shared" si="4"/>
        <v>17</v>
      </c>
      <c r="S101" s="8">
        <f t="shared" si="60"/>
        <v>5792203.125</v>
      </c>
      <c r="T101" s="8">
        <f t="shared" si="61"/>
        <v>5103857.992</v>
      </c>
      <c r="U101" s="8">
        <f t="shared" si="7"/>
        <v>688345.1332</v>
      </c>
      <c r="V101" s="8">
        <f t="shared" ref="V101:W101" si="213">T101/1000</f>
        <v>5103.857992</v>
      </c>
      <c r="W101" s="8">
        <f t="shared" si="213"/>
        <v>688.3451332</v>
      </c>
      <c r="X101" s="8">
        <f t="shared" si="9"/>
        <v>11.88399506</v>
      </c>
      <c r="Y101" s="8">
        <f t="shared" si="10"/>
        <v>89</v>
      </c>
      <c r="Z101" s="8">
        <f t="shared" si="11"/>
        <v>12</v>
      </c>
      <c r="AA101" s="8">
        <f t="shared" si="12"/>
        <v>6</v>
      </c>
      <c r="AB101" s="8">
        <f t="shared" ref="AB101:AC101" si="214">ROUNDUP(V101/1000,0)</f>
        <v>6</v>
      </c>
      <c r="AC101" s="8">
        <f t="shared" si="214"/>
        <v>1</v>
      </c>
      <c r="AD101" s="8">
        <f t="shared" si="188"/>
        <v>100</v>
      </c>
      <c r="AE101" s="8">
        <f t="shared" si="15"/>
        <v>1</v>
      </c>
    </row>
    <row r="102" ht="22.5" customHeight="1">
      <c r="A102" s="7" t="s">
        <v>162</v>
      </c>
      <c r="B102" s="7" t="s">
        <v>44</v>
      </c>
      <c r="C102" s="7">
        <f t="shared" si="3"/>
        <v>4</v>
      </c>
      <c r="D102" s="7">
        <v>5850.342773</v>
      </c>
      <c r="E102" s="7">
        <v>100.0</v>
      </c>
      <c r="F102" s="7">
        <v>100.0</v>
      </c>
      <c r="G102" s="7">
        <v>0.0</v>
      </c>
      <c r="H102" s="7">
        <v>0.0</v>
      </c>
      <c r="I102" s="7">
        <v>0.0</v>
      </c>
      <c r="J102" s="7" t="s">
        <v>36</v>
      </c>
      <c r="K102" s="7" t="s">
        <v>36</v>
      </c>
      <c r="L102" s="7" t="s">
        <v>36</v>
      </c>
      <c r="M102" s="7" t="s">
        <v>36</v>
      </c>
      <c r="N102" s="7">
        <v>100.0</v>
      </c>
      <c r="O102" s="7">
        <v>0.0</v>
      </c>
      <c r="P102" s="7">
        <v>0.0</v>
      </c>
      <c r="Q102" s="7">
        <v>0.0</v>
      </c>
      <c r="R102" s="8">
        <f t="shared" si="4"/>
        <v>17</v>
      </c>
      <c r="S102" s="8">
        <f t="shared" si="60"/>
        <v>5850342.773</v>
      </c>
      <c r="T102" s="8">
        <f t="shared" si="61"/>
        <v>5850342.773</v>
      </c>
      <c r="U102" s="8">
        <f t="shared" si="7"/>
        <v>0</v>
      </c>
      <c r="V102" s="8">
        <f t="shared" ref="V102:W102" si="215">T102/1000</f>
        <v>5850.342773</v>
      </c>
      <c r="W102" s="8">
        <f t="shared" si="215"/>
        <v>0</v>
      </c>
      <c r="X102" s="8">
        <f t="shared" si="9"/>
        <v>0</v>
      </c>
      <c r="Y102" s="8">
        <f t="shared" si="10"/>
        <v>100</v>
      </c>
      <c r="Z102" s="8">
        <f t="shared" si="11"/>
        <v>0</v>
      </c>
      <c r="AA102" s="8">
        <f t="shared" si="12"/>
        <v>6</v>
      </c>
      <c r="AB102" s="8">
        <f t="shared" ref="AB102:AC102" si="216">ROUNDUP(V102/1000,0)</f>
        <v>6</v>
      </c>
      <c r="AC102" s="8">
        <f t="shared" si="216"/>
        <v>0</v>
      </c>
      <c r="AD102" s="8">
        <f t="shared" si="188"/>
        <v>100</v>
      </c>
      <c r="AE102" s="8">
        <f t="shared" si="15"/>
        <v>1</v>
      </c>
    </row>
    <row r="103" ht="22.5" customHeight="1">
      <c r="A103" s="7" t="s">
        <v>163</v>
      </c>
      <c r="B103" s="7" t="s">
        <v>47</v>
      </c>
      <c r="C103" s="7">
        <f t="shared" si="3"/>
        <v>3</v>
      </c>
      <c r="D103" s="7">
        <v>6031.187012</v>
      </c>
      <c r="E103" s="7">
        <v>52.51600266</v>
      </c>
      <c r="F103" s="7">
        <v>100.0</v>
      </c>
      <c r="G103" s="7">
        <v>0.0</v>
      </c>
      <c r="H103" s="7">
        <v>0.0</v>
      </c>
      <c r="I103" s="7">
        <v>0.0</v>
      </c>
      <c r="J103" s="7">
        <v>100.0</v>
      </c>
      <c r="K103" s="7">
        <v>0.0</v>
      </c>
      <c r="L103" s="7">
        <v>0.0</v>
      </c>
      <c r="M103" s="7">
        <v>0.0</v>
      </c>
      <c r="N103" s="7">
        <v>100.0</v>
      </c>
      <c r="O103" s="7">
        <v>0.0</v>
      </c>
      <c r="P103" s="7">
        <v>0.0</v>
      </c>
      <c r="Q103" s="7">
        <v>0.0</v>
      </c>
      <c r="R103" s="8">
        <f t="shared" si="4"/>
        <v>17</v>
      </c>
      <c r="S103" s="8">
        <f t="shared" si="60"/>
        <v>6031187.012</v>
      </c>
      <c r="T103" s="8">
        <f t="shared" si="61"/>
        <v>3167338.332</v>
      </c>
      <c r="U103" s="8">
        <f t="shared" si="7"/>
        <v>2863848.68</v>
      </c>
      <c r="V103" s="8">
        <f t="shared" ref="V103:W103" si="217">T103/1000</f>
        <v>3167.338332</v>
      </c>
      <c r="W103" s="8">
        <f t="shared" si="217"/>
        <v>2863.84868</v>
      </c>
      <c r="X103" s="8">
        <f t="shared" si="9"/>
        <v>47.48399734</v>
      </c>
      <c r="Y103" s="8">
        <f t="shared" si="10"/>
        <v>53</v>
      </c>
      <c r="Z103" s="8">
        <f t="shared" si="11"/>
        <v>48</v>
      </c>
      <c r="AA103" s="8">
        <f t="shared" si="12"/>
        <v>7</v>
      </c>
      <c r="AB103" s="8">
        <f t="shared" ref="AB103:AC103" si="218">ROUNDUP(V103/1000,0)</f>
        <v>4</v>
      </c>
      <c r="AC103" s="8">
        <f t="shared" si="218"/>
        <v>3</v>
      </c>
      <c r="AD103" s="8">
        <f t="shared" si="188"/>
        <v>100</v>
      </c>
      <c r="AE103" s="8">
        <f t="shared" si="15"/>
        <v>1</v>
      </c>
    </row>
    <row r="104" ht="22.5" customHeight="1">
      <c r="A104" s="7" t="s">
        <v>164</v>
      </c>
      <c r="B104" s="7" t="s">
        <v>67</v>
      </c>
      <c r="C104" s="7">
        <f t="shared" si="3"/>
        <v>2</v>
      </c>
      <c r="D104" s="7">
        <v>6486.201172</v>
      </c>
      <c r="E104" s="7">
        <v>73.44400024</v>
      </c>
      <c r="F104" s="7">
        <v>97.94657541</v>
      </c>
      <c r="G104" s="7">
        <v>0.2072632319</v>
      </c>
      <c r="H104" s="7">
        <v>0.3151739969</v>
      </c>
      <c r="I104" s="7">
        <v>1.530987366</v>
      </c>
      <c r="J104" s="7">
        <v>93.45439508</v>
      </c>
      <c r="K104" s="7">
        <v>0.7804762049</v>
      </c>
      <c r="L104" s="7">
        <v>0.0</v>
      </c>
      <c r="M104" s="7">
        <v>5.765128712</v>
      </c>
      <c r="N104" s="7">
        <v>99.57087001</v>
      </c>
      <c r="O104" s="7">
        <v>0.0</v>
      </c>
      <c r="P104" s="7">
        <v>0.4291299944</v>
      </c>
      <c r="Q104" s="7">
        <v>0.0</v>
      </c>
      <c r="R104" s="8">
        <f t="shared" si="4"/>
        <v>17</v>
      </c>
      <c r="S104" s="8">
        <f t="shared" si="60"/>
        <v>6486201.172</v>
      </c>
      <c r="T104" s="8">
        <f t="shared" si="61"/>
        <v>4763725.604</v>
      </c>
      <c r="U104" s="8">
        <f t="shared" si="7"/>
        <v>1722475.568</v>
      </c>
      <c r="V104" s="8">
        <f t="shared" ref="V104:W104" si="219">T104/1000</f>
        <v>4763.725604</v>
      </c>
      <c r="W104" s="8">
        <f t="shared" si="219"/>
        <v>1722.475568</v>
      </c>
      <c r="X104" s="8">
        <f t="shared" si="9"/>
        <v>26.55599976</v>
      </c>
      <c r="Y104" s="8">
        <f t="shared" si="10"/>
        <v>74</v>
      </c>
      <c r="Z104" s="8">
        <f t="shared" si="11"/>
        <v>27</v>
      </c>
      <c r="AA104" s="8">
        <f t="shared" si="12"/>
        <v>7</v>
      </c>
      <c r="AB104" s="8">
        <f t="shared" ref="AB104:AC104" si="220">ROUNDUP(V104/1000,0)</f>
        <v>5</v>
      </c>
      <c r="AC104" s="8">
        <f t="shared" si="220"/>
        <v>2</v>
      </c>
      <c r="AD104" s="8">
        <f t="shared" si="188"/>
        <v>98</v>
      </c>
      <c r="AE104" s="8">
        <f t="shared" si="15"/>
        <v>1</v>
      </c>
    </row>
    <row r="105" ht="22.5" customHeight="1">
      <c r="A105" s="7" t="s">
        <v>165</v>
      </c>
      <c r="B105" s="7" t="s">
        <v>36</v>
      </c>
      <c r="C105" s="7">
        <f t="shared" si="3"/>
        <v>0</v>
      </c>
      <c r="D105" s="7">
        <v>6524.190918</v>
      </c>
      <c r="E105" s="7">
        <v>36.85599899</v>
      </c>
      <c r="F105" s="7">
        <v>91.69930522</v>
      </c>
      <c r="G105" s="7">
        <v>1.900734111</v>
      </c>
      <c r="H105" s="7">
        <v>1.8656487</v>
      </c>
      <c r="I105" s="7">
        <v>4.534311965</v>
      </c>
      <c r="J105" s="7">
        <v>87.258429</v>
      </c>
      <c r="K105" s="7">
        <v>2.606070485</v>
      </c>
      <c r="L105" s="7">
        <v>2.954593684</v>
      </c>
      <c r="M105" s="7">
        <v>7.180906832</v>
      </c>
      <c r="N105" s="7">
        <v>99.30769231</v>
      </c>
      <c r="O105" s="7">
        <v>0.6923076923</v>
      </c>
      <c r="P105" s="7">
        <v>0.0</v>
      </c>
      <c r="Q105" s="7">
        <v>0.0</v>
      </c>
      <c r="R105" s="8">
        <f t="shared" si="4"/>
        <v>17</v>
      </c>
      <c r="S105" s="8">
        <f t="shared" si="60"/>
        <v>6524190.918</v>
      </c>
      <c r="T105" s="8">
        <f t="shared" si="61"/>
        <v>2404555.739</v>
      </c>
      <c r="U105" s="8">
        <f t="shared" si="7"/>
        <v>4119635.179</v>
      </c>
      <c r="V105" s="8">
        <f t="shared" ref="V105:W105" si="221">T105/1000</f>
        <v>2404.555739</v>
      </c>
      <c r="W105" s="8">
        <f t="shared" si="221"/>
        <v>4119.635179</v>
      </c>
      <c r="X105" s="8">
        <f t="shared" si="9"/>
        <v>63.14400101</v>
      </c>
      <c r="Y105" s="8">
        <f t="shared" si="10"/>
        <v>37</v>
      </c>
      <c r="Z105" s="8">
        <f t="shared" si="11"/>
        <v>64</v>
      </c>
      <c r="AA105" s="8">
        <f t="shared" si="12"/>
        <v>7</v>
      </c>
      <c r="AB105" s="8">
        <f t="shared" ref="AB105:AC105" si="222">ROUNDUP(V105/1000,0)</f>
        <v>3</v>
      </c>
      <c r="AC105" s="8">
        <f t="shared" si="222"/>
        <v>5</v>
      </c>
      <c r="AD105" s="8">
        <f t="shared" si="188"/>
        <v>92</v>
      </c>
      <c r="AE105" s="8">
        <f t="shared" si="15"/>
        <v>1</v>
      </c>
    </row>
    <row r="106" ht="22.5" customHeight="1">
      <c r="A106" s="7" t="s">
        <v>166</v>
      </c>
      <c r="B106" s="7" t="s">
        <v>67</v>
      </c>
      <c r="C106" s="7">
        <f t="shared" si="3"/>
        <v>2</v>
      </c>
      <c r="D106" s="7">
        <v>6624.554199</v>
      </c>
      <c r="E106" s="7">
        <v>59.01200104</v>
      </c>
      <c r="F106" s="7">
        <v>81.7087538</v>
      </c>
      <c r="G106" s="7">
        <v>1.506645682</v>
      </c>
      <c r="H106" s="7">
        <v>13.53053114</v>
      </c>
      <c r="I106" s="7">
        <v>3.254069378</v>
      </c>
      <c r="J106" s="7">
        <v>59.10744663</v>
      </c>
      <c r="K106" s="7">
        <v>3.520974285</v>
      </c>
      <c r="L106" s="7">
        <v>29.78017368</v>
      </c>
      <c r="M106" s="7">
        <v>7.5914054</v>
      </c>
      <c r="N106" s="7">
        <v>97.40695661</v>
      </c>
      <c r="O106" s="7">
        <v>0.1075523143</v>
      </c>
      <c r="P106" s="7">
        <v>2.244007656</v>
      </c>
      <c r="Q106" s="7">
        <v>0.2414834229</v>
      </c>
      <c r="R106" s="8">
        <f t="shared" si="4"/>
        <v>17</v>
      </c>
      <c r="S106" s="8">
        <f t="shared" si="60"/>
        <v>6624554.199</v>
      </c>
      <c r="T106" s="8">
        <f t="shared" si="61"/>
        <v>3909281.993</v>
      </c>
      <c r="U106" s="8">
        <f t="shared" si="7"/>
        <v>2715272.206</v>
      </c>
      <c r="V106" s="8">
        <f t="shared" ref="V106:W106" si="223">T106/1000</f>
        <v>3909.281993</v>
      </c>
      <c r="W106" s="8">
        <f t="shared" si="223"/>
        <v>2715.272206</v>
      </c>
      <c r="X106" s="8">
        <f t="shared" si="9"/>
        <v>40.98799896</v>
      </c>
      <c r="Y106" s="8">
        <f t="shared" si="10"/>
        <v>60</v>
      </c>
      <c r="Z106" s="8">
        <f t="shared" si="11"/>
        <v>41</v>
      </c>
      <c r="AA106" s="8">
        <f t="shared" si="12"/>
        <v>7</v>
      </c>
      <c r="AB106" s="8">
        <f t="shared" ref="AB106:AC106" si="224">ROUNDUP(V106/1000,0)</f>
        <v>4</v>
      </c>
      <c r="AC106" s="8">
        <f t="shared" si="224"/>
        <v>3</v>
      </c>
      <c r="AD106" s="8">
        <f t="shared" si="188"/>
        <v>82</v>
      </c>
      <c r="AE106" s="8">
        <f t="shared" si="15"/>
        <v>1</v>
      </c>
    </row>
    <row r="107" ht="22.5" customHeight="1">
      <c r="A107" s="7" t="s">
        <v>167</v>
      </c>
      <c r="B107" s="7" t="s">
        <v>67</v>
      </c>
      <c r="C107" s="7">
        <f t="shared" si="3"/>
        <v>2</v>
      </c>
      <c r="D107" s="7">
        <v>6825.441895</v>
      </c>
      <c r="E107" s="7">
        <v>88.92499542</v>
      </c>
      <c r="F107" s="7">
        <v>92.6</v>
      </c>
      <c r="G107" s="7">
        <v>7.4</v>
      </c>
      <c r="H107" s="7">
        <v>0.0</v>
      </c>
      <c r="I107" s="7">
        <v>0.0</v>
      </c>
      <c r="J107" s="7" t="s">
        <v>36</v>
      </c>
      <c r="K107" s="7" t="s">
        <v>36</v>
      </c>
      <c r="L107" s="7" t="s">
        <v>36</v>
      </c>
      <c r="M107" s="7" t="s">
        <v>36</v>
      </c>
      <c r="N107" s="7" t="s">
        <v>36</v>
      </c>
      <c r="O107" s="7" t="s">
        <v>36</v>
      </c>
      <c r="P107" s="7" t="s">
        <v>36</v>
      </c>
      <c r="Q107" s="7" t="s">
        <v>36</v>
      </c>
      <c r="R107" s="8">
        <f t="shared" si="4"/>
        <v>17</v>
      </c>
      <c r="S107" s="8">
        <f t="shared" si="60"/>
        <v>6825441.895</v>
      </c>
      <c r="T107" s="8">
        <f t="shared" si="61"/>
        <v>6069523.893</v>
      </c>
      <c r="U107" s="8">
        <f t="shared" si="7"/>
        <v>755918.0025</v>
      </c>
      <c r="V107" s="8">
        <f t="shared" ref="V107:W107" si="225">T107/1000</f>
        <v>6069.523893</v>
      </c>
      <c r="W107" s="8">
        <f t="shared" si="225"/>
        <v>755.9180025</v>
      </c>
      <c r="X107" s="8">
        <f t="shared" si="9"/>
        <v>11.07500458</v>
      </c>
      <c r="Y107" s="8">
        <f t="shared" si="10"/>
        <v>89</v>
      </c>
      <c r="Z107" s="8">
        <f t="shared" si="11"/>
        <v>12</v>
      </c>
      <c r="AA107" s="8">
        <f t="shared" si="12"/>
        <v>7</v>
      </c>
      <c r="AB107" s="8">
        <f t="shared" ref="AB107:AC107" si="226">ROUNDUP(V107/1000,0)</f>
        <v>7</v>
      </c>
      <c r="AC107" s="8">
        <f t="shared" si="226"/>
        <v>1</v>
      </c>
      <c r="AD107" s="8">
        <f t="shared" si="188"/>
        <v>93</v>
      </c>
      <c r="AE107" s="8">
        <f t="shared" si="15"/>
        <v>1</v>
      </c>
    </row>
    <row r="108" ht="22.5" customHeight="1">
      <c r="A108" s="7" t="s">
        <v>168</v>
      </c>
      <c r="B108" s="7" t="s">
        <v>47</v>
      </c>
      <c r="C108" s="7">
        <f t="shared" si="3"/>
        <v>3</v>
      </c>
      <c r="D108" s="7">
        <v>6871.287109</v>
      </c>
      <c r="E108" s="7">
        <v>80.69100189</v>
      </c>
      <c r="F108" s="7">
        <v>99.8915238</v>
      </c>
      <c r="G108" s="7">
        <v>0.0</v>
      </c>
      <c r="H108" s="7">
        <v>0.1084762012</v>
      </c>
      <c r="I108" s="7">
        <v>0.0</v>
      </c>
      <c r="J108" s="7" t="s">
        <v>36</v>
      </c>
      <c r="K108" s="7" t="s">
        <v>36</v>
      </c>
      <c r="L108" s="7" t="s">
        <v>36</v>
      </c>
      <c r="M108" s="7" t="s">
        <v>36</v>
      </c>
      <c r="N108" s="7" t="s">
        <v>36</v>
      </c>
      <c r="O108" s="7" t="s">
        <v>36</v>
      </c>
      <c r="P108" s="7" t="s">
        <v>36</v>
      </c>
      <c r="Q108" s="7" t="s">
        <v>36</v>
      </c>
      <c r="R108" s="8">
        <f t="shared" si="4"/>
        <v>17</v>
      </c>
      <c r="S108" s="8">
        <f t="shared" si="60"/>
        <v>6871287.109</v>
      </c>
      <c r="T108" s="8">
        <f t="shared" si="61"/>
        <v>5544510.411</v>
      </c>
      <c r="U108" s="8">
        <f t="shared" si="7"/>
        <v>1326776.698</v>
      </c>
      <c r="V108" s="8">
        <f t="shared" ref="V108:W108" si="227">T108/1000</f>
        <v>5544.510411</v>
      </c>
      <c r="W108" s="8">
        <f t="shared" si="227"/>
        <v>1326.776698</v>
      </c>
      <c r="X108" s="8">
        <f t="shared" si="9"/>
        <v>19.30899811</v>
      </c>
      <c r="Y108" s="8">
        <f t="shared" si="10"/>
        <v>81</v>
      </c>
      <c r="Z108" s="8">
        <f t="shared" si="11"/>
        <v>20</v>
      </c>
      <c r="AA108" s="8">
        <f t="shared" si="12"/>
        <v>7</v>
      </c>
      <c r="AB108" s="8">
        <f t="shared" ref="AB108:AC108" si="228">ROUNDUP(V108/1000,0)</f>
        <v>6</v>
      </c>
      <c r="AC108" s="8">
        <f t="shared" si="228"/>
        <v>2</v>
      </c>
      <c r="AD108" s="8">
        <f t="shared" si="188"/>
        <v>100</v>
      </c>
      <c r="AE108" s="8">
        <f t="shared" si="15"/>
        <v>1</v>
      </c>
    </row>
    <row r="109" ht="22.5" customHeight="1">
      <c r="A109" s="7" t="s">
        <v>169</v>
      </c>
      <c r="B109" s="7" t="s">
        <v>47</v>
      </c>
      <c r="C109" s="7">
        <f t="shared" si="3"/>
        <v>3</v>
      </c>
      <c r="D109" s="7">
        <v>6948.444824</v>
      </c>
      <c r="E109" s="7">
        <v>75.68599701</v>
      </c>
      <c r="F109" s="7">
        <v>99.01141694</v>
      </c>
      <c r="G109" s="7">
        <v>0.0</v>
      </c>
      <c r="H109" s="7">
        <v>0.9885830607</v>
      </c>
      <c r="I109" s="7">
        <v>0.0</v>
      </c>
      <c r="J109" s="7">
        <v>97.40128797</v>
      </c>
      <c r="K109" s="7">
        <v>0.0</v>
      </c>
      <c r="L109" s="7">
        <v>2.598712031</v>
      </c>
      <c r="M109" s="7">
        <v>0.0</v>
      </c>
      <c r="N109" s="7">
        <v>99.5286704</v>
      </c>
      <c r="O109" s="7">
        <v>0.0</v>
      </c>
      <c r="P109" s="7">
        <v>0.4713296007</v>
      </c>
      <c r="Q109" s="7">
        <v>0.0</v>
      </c>
      <c r="R109" s="8">
        <f t="shared" si="4"/>
        <v>17</v>
      </c>
      <c r="S109" s="8">
        <f t="shared" si="60"/>
        <v>6948444.824</v>
      </c>
      <c r="T109" s="8">
        <f t="shared" si="61"/>
        <v>5258999.742</v>
      </c>
      <c r="U109" s="8">
        <f t="shared" si="7"/>
        <v>1689445.082</v>
      </c>
      <c r="V109" s="8">
        <f t="shared" ref="V109:W109" si="229">T109/1000</f>
        <v>5258.999742</v>
      </c>
      <c r="W109" s="8">
        <f t="shared" si="229"/>
        <v>1689.445082</v>
      </c>
      <c r="X109" s="8">
        <f t="shared" si="9"/>
        <v>24.31400299</v>
      </c>
      <c r="Y109" s="8">
        <f t="shared" si="10"/>
        <v>76</v>
      </c>
      <c r="Z109" s="8">
        <f t="shared" si="11"/>
        <v>25</v>
      </c>
      <c r="AA109" s="8">
        <f t="shared" si="12"/>
        <v>7</v>
      </c>
      <c r="AB109" s="8">
        <f t="shared" ref="AB109:AC109" si="230">ROUNDUP(V109/1000,0)</f>
        <v>6</v>
      </c>
      <c r="AC109" s="8">
        <f t="shared" si="230"/>
        <v>2</v>
      </c>
      <c r="AD109" s="8">
        <f t="shared" si="188"/>
        <v>99</v>
      </c>
      <c r="AE109" s="8">
        <f t="shared" si="15"/>
        <v>1</v>
      </c>
    </row>
    <row r="110" ht="22.5" customHeight="1">
      <c r="A110" s="7" t="s">
        <v>170</v>
      </c>
      <c r="B110" s="7" t="s">
        <v>47</v>
      </c>
      <c r="C110" s="7">
        <f t="shared" si="3"/>
        <v>3</v>
      </c>
      <c r="D110" s="7">
        <v>7132.529785</v>
      </c>
      <c r="E110" s="7">
        <v>62.18299484</v>
      </c>
      <c r="F110" s="7">
        <v>99.59346633</v>
      </c>
      <c r="G110" s="7">
        <v>0.4065302439</v>
      </c>
      <c r="H110" s="7">
        <v>3.4229177E-6</v>
      </c>
      <c r="I110" s="7">
        <v>0.0</v>
      </c>
      <c r="J110" s="7">
        <v>99.11122753</v>
      </c>
      <c r="K110" s="7">
        <v>0.8887724684</v>
      </c>
      <c r="L110" s="7">
        <v>0.0</v>
      </c>
      <c r="M110" s="7">
        <v>0.0</v>
      </c>
      <c r="N110" s="7">
        <v>99.88674854</v>
      </c>
      <c r="O110" s="7">
        <v>0.1132514643</v>
      </c>
      <c r="P110" s="7">
        <v>0.0</v>
      </c>
      <c r="Q110" s="7">
        <v>0.0</v>
      </c>
      <c r="R110" s="8">
        <f t="shared" si="4"/>
        <v>17</v>
      </c>
      <c r="S110" s="8">
        <f t="shared" si="60"/>
        <v>7132529.785</v>
      </c>
      <c r="T110" s="8">
        <f t="shared" si="61"/>
        <v>4435220.628</v>
      </c>
      <c r="U110" s="8">
        <f t="shared" si="7"/>
        <v>2697309.157</v>
      </c>
      <c r="V110" s="8">
        <f t="shared" ref="V110:W110" si="231">T110/1000</f>
        <v>4435.220628</v>
      </c>
      <c r="W110" s="8">
        <f t="shared" si="231"/>
        <v>2697.309157</v>
      </c>
      <c r="X110" s="8">
        <f t="shared" si="9"/>
        <v>37.81700516</v>
      </c>
      <c r="Y110" s="8">
        <f t="shared" si="10"/>
        <v>63</v>
      </c>
      <c r="Z110" s="8">
        <f t="shared" si="11"/>
        <v>38</v>
      </c>
      <c r="AA110" s="8">
        <f t="shared" si="12"/>
        <v>8</v>
      </c>
      <c r="AB110" s="8">
        <f t="shared" ref="AB110:AC110" si="232">ROUNDUP(V110/1000,0)</f>
        <v>5</v>
      </c>
      <c r="AC110" s="8">
        <f t="shared" si="232"/>
        <v>3</v>
      </c>
      <c r="AD110" s="8">
        <f t="shared" si="188"/>
        <v>100</v>
      </c>
      <c r="AE110" s="8">
        <f t="shared" si="15"/>
        <v>1</v>
      </c>
    </row>
    <row r="111" ht="22.5" customHeight="1">
      <c r="A111" s="7" t="s">
        <v>171</v>
      </c>
      <c r="B111" s="7" t="s">
        <v>67</v>
      </c>
      <c r="C111" s="7">
        <f t="shared" si="3"/>
        <v>2</v>
      </c>
      <c r="D111" s="7">
        <v>7275.556152</v>
      </c>
      <c r="E111" s="7">
        <v>36.29000092</v>
      </c>
      <c r="F111" s="7">
        <v>85.21974318</v>
      </c>
      <c r="G111" s="7">
        <v>3.566857739</v>
      </c>
      <c r="H111" s="7">
        <v>10.62886799</v>
      </c>
      <c r="I111" s="7">
        <v>0.5845310938</v>
      </c>
      <c r="J111" s="7">
        <v>78.47295942</v>
      </c>
      <c r="K111" s="7">
        <v>5.598583786</v>
      </c>
      <c r="L111" s="7">
        <v>15.0109696</v>
      </c>
      <c r="M111" s="7">
        <v>0.9174871957</v>
      </c>
      <c r="N111" s="7">
        <v>97.06426222</v>
      </c>
      <c r="O111" s="7">
        <v>0.0</v>
      </c>
      <c r="P111" s="7">
        <v>2.935737778</v>
      </c>
      <c r="Q111" s="7">
        <v>0.0</v>
      </c>
      <c r="R111" s="8">
        <f t="shared" si="4"/>
        <v>17</v>
      </c>
      <c r="S111" s="8">
        <f t="shared" si="60"/>
        <v>7275556.152</v>
      </c>
      <c r="T111" s="8">
        <f t="shared" si="61"/>
        <v>2640299.394</v>
      </c>
      <c r="U111" s="8">
        <f t="shared" si="7"/>
        <v>4635256.758</v>
      </c>
      <c r="V111" s="8">
        <f t="shared" ref="V111:W111" si="233">T111/1000</f>
        <v>2640.299394</v>
      </c>
      <c r="W111" s="8">
        <f t="shared" si="233"/>
        <v>4635.256758</v>
      </c>
      <c r="X111" s="8">
        <f t="shared" si="9"/>
        <v>63.70999908</v>
      </c>
      <c r="Y111" s="8">
        <f t="shared" si="10"/>
        <v>37</v>
      </c>
      <c r="Z111" s="8">
        <f t="shared" si="11"/>
        <v>64</v>
      </c>
      <c r="AA111" s="8">
        <f t="shared" si="12"/>
        <v>8</v>
      </c>
      <c r="AB111" s="8">
        <f t="shared" ref="AB111:AC111" si="234">ROUNDUP(V111/1000,0)</f>
        <v>3</v>
      </c>
      <c r="AC111" s="8">
        <f t="shared" si="234"/>
        <v>5</v>
      </c>
      <c r="AD111" s="8">
        <f t="shared" si="188"/>
        <v>85</v>
      </c>
      <c r="AE111" s="8">
        <f t="shared" si="15"/>
        <v>1</v>
      </c>
    </row>
    <row r="112" ht="22.5" customHeight="1">
      <c r="A112" s="7" t="s">
        <v>172</v>
      </c>
      <c r="B112" s="7" t="s">
        <v>44</v>
      </c>
      <c r="C112" s="7">
        <f t="shared" si="3"/>
        <v>4</v>
      </c>
      <c r="D112" s="7">
        <v>7496.987793</v>
      </c>
      <c r="E112" s="7">
        <v>100.0</v>
      </c>
      <c r="F112" s="7">
        <v>100.0</v>
      </c>
      <c r="G112" s="7">
        <v>0.0</v>
      </c>
      <c r="H112" s="7">
        <v>0.0</v>
      </c>
      <c r="I112" s="7">
        <v>0.0</v>
      </c>
      <c r="J112" s="7" t="s">
        <v>36</v>
      </c>
      <c r="K112" s="7" t="s">
        <v>36</v>
      </c>
      <c r="L112" s="7" t="s">
        <v>36</v>
      </c>
      <c r="M112" s="7" t="s">
        <v>36</v>
      </c>
      <c r="N112" s="7">
        <v>100.0</v>
      </c>
      <c r="O112" s="7">
        <v>0.0</v>
      </c>
      <c r="P112" s="7">
        <v>0.0</v>
      </c>
      <c r="Q112" s="7">
        <v>0.0</v>
      </c>
      <c r="R112" s="8">
        <f t="shared" si="4"/>
        <v>17</v>
      </c>
      <c r="S112" s="8">
        <f t="shared" si="60"/>
        <v>7496987.793</v>
      </c>
      <c r="T112" s="8">
        <f t="shared" si="61"/>
        <v>7496987.793</v>
      </c>
      <c r="U112" s="8">
        <f t="shared" si="7"/>
        <v>0</v>
      </c>
      <c r="V112" s="8">
        <f t="shared" ref="V112:W112" si="235">T112/1000</f>
        <v>7496.987793</v>
      </c>
      <c r="W112" s="8">
        <f t="shared" si="235"/>
        <v>0</v>
      </c>
      <c r="X112" s="8">
        <f t="shared" si="9"/>
        <v>0</v>
      </c>
      <c r="Y112" s="8">
        <f t="shared" si="10"/>
        <v>100</v>
      </c>
      <c r="Z112" s="8">
        <f t="shared" si="11"/>
        <v>0</v>
      </c>
      <c r="AA112" s="8">
        <f t="shared" si="12"/>
        <v>8</v>
      </c>
      <c r="AB112" s="8">
        <f t="shared" ref="AB112:AC112" si="236">ROUNDUP(V112/1000,0)</f>
        <v>8</v>
      </c>
      <c r="AC112" s="8">
        <f t="shared" si="236"/>
        <v>0</v>
      </c>
      <c r="AD112" s="8">
        <f t="shared" si="188"/>
        <v>100</v>
      </c>
      <c r="AE112" s="8">
        <f t="shared" si="15"/>
        <v>1</v>
      </c>
    </row>
    <row r="113" ht="22.5" customHeight="1">
      <c r="A113" s="7" t="s">
        <v>173</v>
      </c>
      <c r="B113" s="7" t="s">
        <v>118</v>
      </c>
      <c r="C113" s="7">
        <f t="shared" si="3"/>
        <v>1</v>
      </c>
      <c r="D113" s="7">
        <v>7976.984863</v>
      </c>
      <c r="E113" s="7">
        <v>42.92300034</v>
      </c>
      <c r="F113" s="7">
        <v>63.76628562</v>
      </c>
      <c r="G113" s="7">
        <v>9.023316357</v>
      </c>
      <c r="H113" s="7">
        <v>15.5639457</v>
      </c>
      <c r="I113" s="7">
        <v>11.64645233</v>
      </c>
      <c r="J113" s="7">
        <v>52.75270267</v>
      </c>
      <c r="K113" s="7">
        <v>5.221136889</v>
      </c>
      <c r="L113" s="7">
        <v>23.14294909</v>
      </c>
      <c r="M113" s="7">
        <v>18.88321135</v>
      </c>
      <c r="N113" s="7">
        <v>78.41163766</v>
      </c>
      <c r="O113" s="7">
        <v>14.07927743</v>
      </c>
      <c r="P113" s="7">
        <v>5.485735437</v>
      </c>
      <c r="Q113" s="7">
        <v>2.023349475</v>
      </c>
      <c r="R113" s="8">
        <f t="shared" si="4"/>
        <v>17</v>
      </c>
      <c r="S113" s="8">
        <f t="shared" si="60"/>
        <v>7976984.863</v>
      </c>
      <c r="T113" s="8">
        <f t="shared" si="61"/>
        <v>3423961.24</v>
      </c>
      <c r="U113" s="8">
        <f t="shared" si="7"/>
        <v>4553023.623</v>
      </c>
      <c r="V113" s="8">
        <f t="shared" ref="V113:W113" si="237">T113/1000</f>
        <v>3423.96124</v>
      </c>
      <c r="W113" s="8">
        <f t="shared" si="237"/>
        <v>4553.023623</v>
      </c>
      <c r="X113" s="8">
        <f t="shared" si="9"/>
        <v>57.07699966</v>
      </c>
      <c r="Y113" s="8">
        <f t="shared" si="10"/>
        <v>43</v>
      </c>
      <c r="Z113" s="8">
        <f t="shared" si="11"/>
        <v>58</v>
      </c>
      <c r="AA113" s="8">
        <f t="shared" si="12"/>
        <v>8</v>
      </c>
      <c r="AB113" s="8">
        <f t="shared" ref="AB113:AC113" si="238">ROUNDUP(V113/1000,0)</f>
        <v>4</v>
      </c>
      <c r="AC113" s="8">
        <f t="shared" si="238"/>
        <v>5</v>
      </c>
      <c r="AD113" s="8">
        <f t="shared" si="188"/>
        <v>64</v>
      </c>
      <c r="AE113" s="8">
        <f t="shared" si="15"/>
        <v>1</v>
      </c>
    </row>
    <row r="114" ht="22.5" customHeight="1">
      <c r="A114" s="7" t="s">
        <v>174</v>
      </c>
      <c r="B114" s="7" t="s">
        <v>118</v>
      </c>
      <c r="C114" s="7">
        <f t="shared" si="3"/>
        <v>1</v>
      </c>
      <c r="D114" s="7">
        <v>8278.737305</v>
      </c>
      <c r="E114" s="7">
        <v>42.79999924</v>
      </c>
      <c r="F114" s="7">
        <v>68.58372009</v>
      </c>
      <c r="G114" s="7">
        <v>6.065434765</v>
      </c>
      <c r="H114" s="7">
        <v>14.16432245</v>
      </c>
      <c r="I114" s="7">
        <v>11.18652269</v>
      </c>
      <c r="J114" s="7">
        <v>52.11755275</v>
      </c>
      <c r="K114" s="7">
        <v>8.187542019</v>
      </c>
      <c r="L114" s="7">
        <v>20.7910842</v>
      </c>
      <c r="M114" s="7">
        <v>18.90382103</v>
      </c>
      <c r="N114" s="7">
        <v>90.58991001</v>
      </c>
      <c r="O114" s="7">
        <v>3.229348056</v>
      </c>
      <c r="P114" s="7">
        <v>5.307990528</v>
      </c>
      <c r="Q114" s="7">
        <v>0.8727514049</v>
      </c>
      <c r="R114" s="8">
        <f t="shared" si="4"/>
        <v>17</v>
      </c>
      <c r="S114" s="8">
        <f t="shared" si="60"/>
        <v>8278737.305</v>
      </c>
      <c r="T114" s="8">
        <f t="shared" si="61"/>
        <v>3543299.504</v>
      </c>
      <c r="U114" s="8">
        <f t="shared" si="7"/>
        <v>4735437.801</v>
      </c>
      <c r="V114" s="8">
        <f t="shared" ref="V114:W114" si="239">T114/1000</f>
        <v>3543.299504</v>
      </c>
      <c r="W114" s="8">
        <f t="shared" si="239"/>
        <v>4735.437801</v>
      </c>
      <c r="X114" s="8">
        <f t="shared" si="9"/>
        <v>57.20000076</v>
      </c>
      <c r="Y114" s="8">
        <f t="shared" si="10"/>
        <v>43</v>
      </c>
      <c r="Z114" s="8">
        <f t="shared" si="11"/>
        <v>58</v>
      </c>
      <c r="AA114" s="8">
        <f t="shared" si="12"/>
        <v>9</v>
      </c>
      <c r="AB114" s="8">
        <f t="shared" ref="AB114:AC114" si="240">ROUNDUP(V114/1000,0)</f>
        <v>4</v>
      </c>
      <c r="AC114" s="8">
        <f t="shared" si="240"/>
        <v>5</v>
      </c>
      <c r="AD114" s="8">
        <f t="shared" si="188"/>
        <v>69</v>
      </c>
      <c r="AE114" s="8">
        <f t="shared" si="15"/>
        <v>1</v>
      </c>
    </row>
    <row r="115" ht="22.5" customHeight="1">
      <c r="A115" s="7" t="s">
        <v>175</v>
      </c>
      <c r="B115" s="7" t="s">
        <v>44</v>
      </c>
      <c r="C115" s="7">
        <f t="shared" si="3"/>
        <v>4</v>
      </c>
      <c r="D115" s="7">
        <v>8654.618164</v>
      </c>
      <c r="E115" s="7">
        <v>73.91500092</v>
      </c>
      <c r="F115" s="7">
        <v>100.0000028</v>
      </c>
      <c r="G115" s="7">
        <v>0.0</v>
      </c>
      <c r="H115" s="7">
        <v>0.0</v>
      </c>
      <c r="I115" s="7">
        <v>0.0</v>
      </c>
      <c r="J115" s="7">
        <v>100.0</v>
      </c>
      <c r="K115" s="7">
        <v>0.0</v>
      </c>
      <c r="L115" s="7">
        <v>0.0</v>
      </c>
      <c r="M115" s="7">
        <v>0.0</v>
      </c>
      <c r="N115" s="7">
        <v>100.0</v>
      </c>
      <c r="O115" s="7">
        <v>0.0</v>
      </c>
      <c r="P115" s="7">
        <v>0.0</v>
      </c>
      <c r="Q115" s="7">
        <v>0.0</v>
      </c>
      <c r="R115" s="8">
        <f t="shared" si="4"/>
        <v>17</v>
      </c>
      <c r="S115" s="8">
        <f t="shared" si="60"/>
        <v>8654618.164</v>
      </c>
      <c r="T115" s="8">
        <f t="shared" si="61"/>
        <v>6397061.096</v>
      </c>
      <c r="U115" s="8">
        <f t="shared" si="7"/>
        <v>2257557.068</v>
      </c>
      <c r="V115" s="8">
        <f t="shared" ref="V115:W115" si="241">T115/1000</f>
        <v>6397.061096</v>
      </c>
      <c r="W115" s="8">
        <f t="shared" si="241"/>
        <v>2257.557068</v>
      </c>
      <c r="X115" s="8">
        <f t="shared" si="9"/>
        <v>26.08499908</v>
      </c>
      <c r="Y115" s="8">
        <f t="shared" si="10"/>
        <v>74</v>
      </c>
      <c r="Z115" s="8">
        <f t="shared" si="11"/>
        <v>27</v>
      </c>
      <c r="AA115" s="8">
        <f t="shared" si="12"/>
        <v>9</v>
      </c>
      <c r="AB115" s="8">
        <f t="shared" ref="AB115:AC115" si="242">ROUNDUP(V115/1000,0)</f>
        <v>7</v>
      </c>
      <c r="AC115" s="8">
        <f t="shared" si="242"/>
        <v>3</v>
      </c>
      <c r="AD115" s="8">
        <f t="shared" si="188"/>
        <v>100</v>
      </c>
      <c r="AE115" s="8">
        <f t="shared" si="15"/>
        <v>1</v>
      </c>
    </row>
    <row r="116" ht="22.5" customHeight="1">
      <c r="A116" s="7" t="s">
        <v>176</v>
      </c>
      <c r="B116" s="7" t="s">
        <v>44</v>
      </c>
      <c r="C116" s="7">
        <f t="shared" si="3"/>
        <v>4</v>
      </c>
      <c r="D116" s="7">
        <v>8655.541016</v>
      </c>
      <c r="E116" s="7">
        <v>92.58699799</v>
      </c>
      <c r="F116" s="7">
        <v>100.0</v>
      </c>
      <c r="G116" s="7">
        <v>0.0</v>
      </c>
      <c r="H116" s="7">
        <v>0.0</v>
      </c>
      <c r="I116" s="7">
        <v>0.0</v>
      </c>
      <c r="J116" s="7">
        <v>100.0</v>
      </c>
      <c r="K116" s="7">
        <v>0.0</v>
      </c>
      <c r="L116" s="7">
        <v>0.0</v>
      </c>
      <c r="M116" s="7">
        <v>0.0</v>
      </c>
      <c r="N116" s="7">
        <v>100.0</v>
      </c>
      <c r="O116" s="7">
        <v>0.0</v>
      </c>
      <c r="P116" s="7">
        <v>0.0</v>
      </c>
      <c r="Q116" s="7">
        <v>0.0</v>
      </c>
      <c r="R116" s="8">
        <f t="shared" si="4"/>
        <v>17</v>
      </c>
      <c r="S116" s="8">
        <f t="shared" si="60"/>
        <v>8655541.016</v>
      </c>
      <c r="T116" s="8">
        <f t="shared" si="61"/>
        <v>8013905.587</v>
      </c>
      <c r="U116" s="8">
        <f t="shared" si="7"/>
        <v>641635.4295</v>
      </c>
      <c r="V116" s="8">
        <f t="shared" ref="V116:W116" si="243">T116/1000</f>
        <v>8013.905587</v>
      </c>
      <c r="W116" s="8">
        <f t="shared" si="243"/>
        <v>641.6354295</v>
      </c>
      <c r="X116" s="8">
        <f t="shared" si="9"/>
        <v>7.41300201</v>
      </c>
      <c r="Y116" s="8">
        <f t="shared" si="10"/>
        <v>93</v>
      </c>
      <c r="Z116" s="8">
        <f t="shared" si="11"/>
        <v>8</v>
      </c>
      <c r="AA116" s="8">
        <f t="shared" si="12"/>
        <v>9</v>
      </c>
      <c r="AB116" s="8">
        <f t="shared" ref="AB116:AC116" si="244">ROUNDUP(V116/1000,0)</f>
        <v>9</v>
      </c>
      <c r="AC116" s="8">
        <f t="shared" si="244"/>
        <v>1</v>
      </c>
      <c r="AD116" s="8">
        <f t="shared" si="188"/>
        <v>100</v>
      </c>
      <c r="AE116" s="8">
        <f t="shared" si="15"/>
        <v>1</v>
      </c>
    </row>
    <row r="117" ht="22.5" customHeight="1">
      <c r="A117" s="7" t="s">
        <v>177</v>
      </c>
      <c r="B117" s="7" t="s">
        <v>47</v>
      </c>
      <c r="C117" s="7">
        <f t="shared" si="3"/>
        <v>3</v>
      </c>
      <c r="D117" s="7">
        <v>8737.370117</v>
      </c>
      <c r="E117" s="7">
        <v>56.44599915</v>
      </c>
      <c r="F117" s="7">
        <v>95.29552932</v>
      </c>
      <c r="G117" s="7">
        <v>4.244199279</v>
      </c>
      <c r="H117" s="7">
        <v>0.4437204778</v>
      </c>
      <c r="I117" s="7">
        <v>0.01655092647</v>
      </c>
      <c r="J117" s="7">
        <v>95.84497475</v>
      </c>
      <c r="K117" s="7">
        <v>3.545864028</v>
      </c>
      <c r="L117" s="7">
        <v>0.5711602866</v>
      </c>
      <c r="M117" s="7">
        <v>0.03800093141</v>
      </c>
      <c r="N117" s="7">
        <v>94.87156989</v>
      </c>
      <c r="O117" s="7">
        <v>4.783037865</v>
      </c>
      <c r="P117" s="7">
        <v>0.3453922445</v>
      </c>
      <c r="Q117" s="7">
        <v>0.0</v>
      </c>
      <c r="R117" s="8">
        <f t="shared" si="4"/>
        <v>17</v>
      </c>
      <c r="S117" s="8">
        <f t="shared" si="60"/>
        <v>8737370.117</v>
      </c>
      <c r="T117" s="8">
        <f t="shared" si="61"/>
        <v>4931895.862</v>
      </c>
      <c r="U117" s="8">
        <f t="shared" si="7"/>
        <v>3805474.255</v>
      </c>
      <c r="V117" s="8">
        <f t="shared" ref="V117:W117" si="245">T117/1000</f>
        <v>4931.895862</v>
      </c>
      <c r="W117" s="8">
        <f t="shared" si="245"/>
        <v>3805.474255</v>
      </c>
      <c r="X117" s="8">
        <f t="shared" si="9"/>
        <v>43.55400085</v>
      </c>
      <c r="Y117" s="8">
        <f t="shared" si="10"/>
        <v>57</v>
      </c>
      <c r="Z117" s="8">
        <f t="shared" si="11"/>
        <v>44</v>
      </c>
      <c r="AA117" s="8">
        <f t="shared" si="12"/>
        <v>9</v>
      </c>
      <c r="AB117" s="8">
        <f t="shared" ref="AB117:AC117" si="246">ROUNDUP(V117/1000,0)</f>
        <v>5</v>
      </c>
      <c r="AC117" s="8">
        <f t="shared" si="246"/>
        <v>4</v>
      </c>
      <c r="AD117" s="8">
        <f t="shared" si="188"/>
        <v>95</v>
      </c>
      <c r="AE117" s="8">
        <f t="shared" si="15"/>
        <v>1</v>
      </c>
    </row>
    <row r="118" ht="22.5" customHeight="1">
      <c r="A118" s="7" t="s">
        <v>178</v>
      </c>
      <c r="B118" s="7" t="s">
        <v>67</v>
      </c>
      <c r="C118" s="7">
        <f t="shared" si="3"/>
        <v>2</v>
      </c>
      <c r="D118" s="7">
        <v>8947.027344</v>
      </c>
      <c r="E118" s="7">
        <v>13.34500027</v>
      </c>
      <c r="F118" s="7">
        <v>45.34401752</v>
      </c>
      <c r="G118" s="7">
        <v>2.128564452</v>
      </c>
      <c r="H118" s="7">
        <v>22.15762495</v>
      </c>
      <c r="I118" s="7">
        <v>30.36979308</v>
      </c>
      <c r="J118" s="7">
        <v>39.07134367</v>
      </c>
      <c r="K118" s="7">
        <v>2.429850293</v>
      </c>
      <c r="L118" s="7">
        <v>24.43180086</v>
      </c>
      <c r="M118" s="7">
        <v>34.06700517</v>
      </c>
      <c r="N118" s="7">
        <v>86.07527164</v>
      </c>
      <c r="O118" s="7">
        <v>0.1721822608</v>
      </c>
      <c r="P118" s="7">
        <v>7.390385564</v>
      </c>
      <c r="Q118" s="7">
        <v>6.362160532</v>
      </c>
      <c r="R118" s="8">
        <f t="shared" si="4"/>
        <v>17</v>
      </c>
      <c r="S118" s="8">
        <f t="shared" si="60"/>
        <v>8947027.344</v>
      </c>
      <c r="T118" s="8">
        <f t="shared" si="61"/>
        <v>1193980.823</v>
      </c>
      <c r="U118" s="8">
        <f t="shared" si="7"/>
        <v>7753046.521</v>
      </c>
      <c r="V118" s="8">
        <f t="shared" ref="V118:W118" si="247">T118/1000</f>
        <v>1193.980823</v>
      </c>
      <c r="W118" s="8">
        <f t="shared" si="247"/>
        <v>7753.046521</v>
      </c>
      <c r="X118" s="8">
        <f t="shared" si="9"/>
        <v>86.65499973</v>
      </c>
      <c r="Y118" s="8">
        <f t="shared" si="10"/>
        <v>14</v>
      </c>
      <c r="Z118" s="8">
        <f t="shared" si="11"/>
        <v>87</v>
      </c>
      <c r="AA118" s="8">
        <f t="shared" si="12"/>
        <v>9</v>
      </c>
      <c r="AB118" s="8">
        <f t="shared" ref="AB118:AC118" si="248">ROUNDUP(V118/1000,0)</f>
        <v>2</v>
      </c>
      <c r="AC118" s="8">
        <f t="shared" si="248"/>
        <v>8</v>
      </c>
      <c r="AD118" s="8">
        <f t="shared" si="188"/>
        <v>45</v>
      </c>
      <c r="AE118" s="8">
        <f t="shared" si="15"/>
        <v>1</v>
      </c>
    </row>
    <row r="119" ht="22.5" customHeight="1">
      <c r="A119" s="7" t="s">
        <v>179</v>
      </c>
      <c r="B119" s="7" t="s">
        <v>44</v>
      </c>
      <c r="C119" s="7">
        <f t="shared" si="3"/>
        <v>4</v>
      </c>
      <c r="D119" s="7">
        <v>9006.400391</v>
      </c>
      <c r="E119" s="7">
        <v>58.7480011</v>
      </c>
      <c r="F119" s="7">
        <v>100.0</v>
      </c>
      <c r="G119" s="7">
        <v>0.0</v>
      </c>
      <c r="H119" s="7">
        <v>0.0</v>
      </c>
      <c r="I119" s="7">
        <v>0.0</v>
      </c>
      <c r="J119" s="7">
        <v>100.0</v>
      </c>
      <c r="K119" s="7">
        <v>0.0</v>
      </c>
      <c r="L119" s="7">
        <v>0.0</v>
      </c>
      <c r="M119" s="7">
        <v>0.0</v>
      </c>
      <c r="N119" s="7">
        <v>100.0</v>
      </c>
      <c r="O119" s="7">
        <v>0.0</v>
      </c>
      <c r="P119" s="7">
        <v>0.0</v>
      </c>
      <c r="Q119" s="7">
        <v>0.0</v>
      </c>
      <c r="R119" s="8">
        <f t="shared" si="4"/>
        <v>17</v>
      </c>
      <c r="S119" s="8">
        <f t="shared" si="60"/>
        <v>9006400.391</v>
      </c>
      <c r="T119" s="8">
        <f t="shared" si="61"/>
        <v>5291080.201</v>
      </c>
      <c r="U119" s="8">
        <f t="shared" si="7"/>
        <v>3715320.19</v>
      </c>
      <c r="V119" s="8">
        <f t="shared" ref="V119:W119" si="249">T119/1000</f>
        <v>5291.080201</v>
      </c>
      <c r="W119" s="8">
        <f t="shared" si="249"/>
        <v>3715.32019</v>
      </c>
      <c r="X119" s="8">
        <f t="shared" si="9"/>
        <v>41.2519989</v>
      </c>
      <c r="Y119" s="8">
        <f t="shared" si="10"/>
        <v>59</v>
      </c>
      <c r="Z119" s="8">
        <f t="shared" si="11"/>
        <v>42</v>
      </c>
      <c r="AA119" s="8">
        <f t="shared" si="12"/>
        <v>10</v>
      </c>
      <c r="AB119" s="8">
        <f t="shared" ref="AB119:AC119" si="250">ROUNDUP(V119/1000,0)</f>
        <v>6</v>
      </c>
      <c r="AC119" s="8">
        <f t="shared" si="250"/>
        <v>4</v>
      </c>
      <c r="AD119" s="8">
        <f t="shared" si="188"/>
        <v>100</v>
      </c>
      <c r="AE119" s="8">
        <f t="shared" si="15"/>
        <v>1</v>
      </c>
    </row>
    <row r="120" ht="22.5" customHeight="1">
      <c r="A120" s="7" t="s">
        <v>180</v>
      </c>
      <c r="B120" s="7" t="s">
        <v>47</v>
      </c>
      <c r="C120" s="7">
        <f t="shared" si="3"/>
        <v>3</v>
      </c>
      <c r="D120" s="7">
        <v>9449.321289</v>
      </c>
      <c r="E120" s="7">
        <v>79.48300171</v>
      </c>
      <c r="F120" s="7">
        <v>96.53472608</v>
      </c>
      <c r="G120" s="7">
        <v>3.37211955</v>
      </c>
      <c r="H120" s="7">
        <v>0.09315436837</v>
      </c>
      <c r="I120" s="7">
        <v>0.0</v>
      </c>
      <c r="J120" s="7">
        <v>98.56412231</v>
      </c>
      <c r="K120" s="7">
        <v>0.9955971951</v>
      </c>
      <c r="L120" s="7">
        <v>0.4402804931</v>
      </c>
      <c r="M120" s="7">
        <v>0.0</v>
      </c>
      <c r="N120" s="7">
        <v>96.01087362</v>
      </c>
      <c r="O120" s="7">
        <v>3.985572644</v>
      </c>
      <c r="P120" s="7">
        <v>0.003553731977</v>
      </c>
      <c r="Q120" s="7">
        <v>0.0</v>
      </c>
      <c r="R120" s="8">
        <f t="shared" si="4"/>
        <v>17</v>
      </c>
      <c r="S120" s="8">
        <f t="shared" si="60"/>
        <v>9449321.289</v>
      </c>
      <c r="T120" s="8">
        <f t="shared" si="61"/>
        <v>7510604.202</v>
      </c>
      <c r="U120" s="8">
        <f t="shared" si="7"/>
        <v>1938717.087</v>
      </c>
      <c r="V120" s="8">
        <f t="shared" ref="V120:W120" si="251">T120/1000</f>
        <v>7510.604202</v>
      </c>
      <c r="W120" s="8">
        <f t="shared" si="251"/>
        <v>1938.717087</v>
      </c>
      <c r="X120" s="8">
        <f t="shared" si="9"/>
        <v>20.51699829</v>
      </c>
      <c r="Y120" s="8">
        <f t="shared" si="10"/>
        <v>80</v>
      </c>
      <c r="Z120" s="8">
        <f t="shared" si="11"/>
        <v>21</v>
      </c>
      <c r="AA120" s="8">
        <f t="shared" si="12"/>
        <v>10</v>
      </c>
      <c r="AB120" s="8">
        <f t="shared" ref="AB120:AC120" si="252">ROUNDUP(V120/1000,0)</f>
        <v>8</v>
      </c>
      <c r="AC120" s="8">
        <f t="shared" si="252"/>
        <v>2</v>
      </c>
      <c r="AD120" s="8">
        <f t="shared" si="188"/>
        <v>97</v>
      </c>
      <c r="AE120" s="8">
        <f t="shared" si="15"/>
        <v>1</v>
      </c>
    </row>
    <row r="121" ht="22.5" customHeight="1">
      <c r="A121" s="7" t="s">
        <v>181</v>
      </c>
      <c r="B121" s="7" t="s">
        <v>67</v>
      </c>
      <c r="C121" s="7">
        <f t="shared" si="3"/>
        <v>2</v>
      </c>
      <c r="D121" s="7">
        <v>9537.641602</v>
      </c>
      <c r="E121" s="7">
        <v>27.50599861</v>
      </c>
      <c r="F121" s="7">
        <v>81.85241502</v>
      </c>
      <c r="G121" s="7">
        <v>2.568363935</v>
      </c>
      <c r="H121" s="7">
        <v>3.421857005</v>
      </c>
      <c r="I121" s="7">
        <v>12.15736404</v>
      </c>
      <c r="J121" s="7">
        <v>76.6435992</v>
      </c>
      <c r="K121" s="7">
        <v>3.207143928</v>
      </c>
      <c r="L121" s="7">
        <v>4.140706948</v>
      </c>
      <c r="M121" s="7">
        <v>16.00854992</v>
      </c>
      <c r="N121" s="7">
        <v>95.58062386</v>
      </c>
      <c r="O121" s="7">
        <v>0.8848144763</v>
      </c>
      <c r="P121" s="7">
        <v>1.527268323</v>
      </c>
      <c r="Q121" s="7">
        <v>2.007293339</v>
      </c>
      <c r="R121" s="8">
        <f t="shared" si="4"/>
        <v>17</v>
      </c>
      <c r="S121" s="8">
        <f t="shared" si="60"/>
        <v>9537641.602</v>
      </c>
      <c r="T121" s="8">
        <f t="shared" si="61"/>
        <v>2623423.566</v>
      </c>
      <c r="U121" s="8">
        <f t="shared" si="7"/>
        <v>6914218.036</v>
      </c>
      <c r="V121" s="8">
        <f t="shared" ref="V121:W121" si="253">T121/1000</f>
        <v>2623.423566</v>
      </c>
      <c r="W121" s="8">
        <f t="shared" si="253"/>
        <v>6914.218036</v>
      </c>
      <c r="X121" s="8">
        <f t="shared" si="9"/>
        <v>72.49400139</v>
      </c>
      <c r="Y121" s="8">
        <f t="shared" si="10"/>
        <v>28</v>
      </c>
      <c r="Z121" s="8">
        <f t="shared" si="11"/>
        <v>73</v>
      </c>
      <c r="AA121" s="8">
        <f t="shared" si="12"/>
        <v>10</v>
      </c>
      <c r="AB121" s="8">
        <f t="shared" ref="AB121:AC121" si="254">ROUNDUP(V121/1000,0)</f>
        <v>3</v>
      </c>
      <c r="AC121" s="8">
        <f t="shared" si="254"/>
        <v>7</v>
      </c>
      <c r="AD121" s="8">
        <f t="shared" si="188"/>
        <v>82</v>
      </c>
      <c r="AE121" s="8">
        <f t="shared" si="15"/>
        <v>1</v>
      </c>
    </row>
    <row r="122" ht="22.5" customHeight="1">
      <c r="A122" s="7" t="s">
        <v>182</v>
      </c>
      <c r="B122" s="7" t="s">
        <v>44</v>
      </c>
      <c r="C122" s="7">
        <f t="shared" si="3"/>
        <v>4</v>
      </c>
      <c r="D122" s="7">
        <v>9660.349609</v>
      </c>
      <c r="E122" s="7">
        <v>71.94200134</v>
      </c>
      <c r="F122" s="7">
        <v>99.99999747</v>
      </c>
      <c r="G122" s="7">
        <v>0.0</v>
      </c>
      <c r="H122" s="7">
        <v>2.527244192E-6</v>
      </c>
      <c r="I122" s="7">
        <v>0.0</v>
      </c>
      <c r="J122" s="7">
        <v>100.0</v>
      </c>
      <c r="K122" s="7">
        <v>0.0</v>
      </c>
      <c r="L122" s="7">
        <v>0.0</v>
      </c>
      <c r="M122" s="7">
        <v>0.0</v>
      </c>
      <c r="N122" s="7">
        <v>100.0</v>
      </c>
      <c r="O122" s="7">
        <v>0.0</v>
      </c>
      <c r="P122" s="7">
        <v>0.0</v>
      </c>
      <c r="Q122" s="7">
        <v>0.0</v>
      </c>
      <c r="R122" s="8">
        <f t="shared" si="4"/>
        <v>17</v>
      </c>
      <c r="S122" s="8">
        <f t="shared" si="60"/>
        <v>9660349.609</v>
      </c>
      <c r="T122" s="8">
        <f t="shared" si="61"/>
        <v>6949848.845</v>
      </c>
      <c r="U122" s="8">
        <f t="shared" si="7"/>
        <v>2710500.764</v>
      </c>
      <c r="V122" s="8">
        <f t="shared" ref="V122:W122" si="255">T122/1000</f>
        <v>6949.848845</v>
      </c>
      <c r="W122" s="8">
        <f t="shared" si="255"/>
        <v>2710.500764</v>
      </c>
      <c r="X122" s="8">
        <f t="shared" si="9"/>
        <v>28.05799866</v>
      </c>
      <c r="Y122" s="8">
        <f t="shared" si="10"/>
        <v>72</v>
      </c>
      <c r="Z122" s="8">
        <f t="shared" si="11"/>
        <v>29</v>
      </c>
      <c r="AA122" s="8">
        <f t="shared" si="12"/>
        <v>10</v>
      </c>
      <c r="AB122" s="8">
        <f t="shared" ref="AB122:AC122" si="256">ROUNDUP(V122/1000,0)</f>
        <v>7</v>
      </c>
      <c r="AC122" s="8">
        <f t="shared" si="256"/>
        <v>3</v>
      </c>
      <c r="AD122" s="8">
        <f t="shared" si="188"/>
        <v>100</v>
      </c>
      <c r="AE122" s="8">
        <f t="shared" si="15"/>
        <v>1</v>
      </c>
    </row>
    <row r="123" ht="22.5" customHeight="1">
      <c r="A123" s="7" t="s">
        <v>183</v>
      </c>
      <c r="B123" s="7" t="s">
        <v>44</v>
      </c>
      <c r="C123" s="7">
        <f t="shared" si="3"/>
        <v>4</v>
      </c>
      <c r="D123" s="7">
        <v>9890.400391</v>
      </c>
      <c r="E123" s="7">
        <v>87.04799652</v>
      </c>
      <c r="F123" s="7">
        <v>99.965596</v>
      </c>
      <c r="G123" s="7">
        <v>0.0</v>
      </c>
      <c r="H123" s="7">
        <v>0.034404</v>
      </c>
      <c r="I123" s="7">
        <v>0.0</v>
      </c>
      <c r="J123" s="7" t="s">
        <v>36</v>
      </c>
      <c r="K123" s="7" t="s">
        <v>36</v>
      </c>
      <c r="L123" s="7" t="s">
        <v>36</v>
      </c>
      <c r="M123" s="7" t="s">
        <v>36</v>
      </c>
      <c r="N123" s="7" t="s">
        <v>36</v>
      </c>
      <c r="O123" s="7" t="s">
        <v>36</v>
      </c>
      <c r="P123" s="7" t="s">
        <v>36</v>
      </c>
      <c r="Q123" s="7" t="s">
        <v>36</v>
      </c>
      <c r="R123" s="8">
        <f t="shared" si="4"/>
        <v>17</v>
      </c>
      <c r="S123" s="8">
        <f t="shared" si="60"/>
        <v>9890400.391</v>
      </c>
      <c r="T123" s="8">
        <f t="shared" si="61"/>
        <v>8609395.388</v>
      </c>
      <c r="U123" s="8">
        <f t="shared" si="7"/>
        <v>1281005.003</v>
      </c>
      <c r="V123" s="8">
        <f t="shared" ref="V123:W123" si="257">T123/1000</f>
        <v>8609.395388</v>
      </c>
      <c r="W123" s="8">
        <f t="shared" si="257"/>
        <v>1281.005003</v>
      </c>
      <c r="X123" s="8">
        <f t="shared" si="9"/>
        <v>12.95200348</v>
      </c>
      <c r="Y123" s="8">
        <f t="shared" si="10"/>
        <v>88</v>
      </c>
      <c r="Z123" s="8">
        <f t="shared" si="11"/>
        <v>13</v>
      </c>
      <c r="AA123" s="8">
        <f t="shared" si="12"/>
        <v>10</v>
      </c>
      <c r="AB123" s="8">
        <f t="shared" ref="AB123:AC123" si="258">ROUNDUP(V123/1000,0)</f>
        <v>9</v>
      </c>
      <c r="AC123" s="8">
        <f t="shared" si="258"/>
        <v>2</v>
      </c>
      <c r="AD123" s="8">
        <f t="shared" si="188"/>
        <v>100</v>
      </c>
      <c r="AE123" s="8">
        <f t="shared" si="15"/>
        <v>1</v>
      </c>
    </row>
    <row r="124" ht="22.5" customHeight="1">
      <c r="A124" s="7" t="s">
        <v>184</v>
      </c>
      <c r="B124" s="7" t="s">
        <v>67</v>
      </c>
      <c r="C124" s="7">
        <f t="shared" si="3"/>
        <v>2</v>
      </c>
      <c r="D124" s="7">
        <v>9904.608398</v>
      </c>
      <c r="E124" s="7">
        <v>58.35899734</v>
      </c>
      <c r="F124" s="7">
        <v>95.68922113</v>
      </c>
      <c r="G124" s="7">
        <v>0.4256206085</v>
      </c>
      <c r="H124" s="7">
        <v>3.885158264</v>
      </c>
      <c r="I124" s="7">
        <v>0.0</v>
      </c>
      <c r="J124" s="7">
        <v>89.87579955</v>
      </c>
      <c r="K124" s="7">
        <v>0.8067095079</v>
      </c>
      <c r="L124" s="7">
        <v>9.317490946</v>
      </c>
      <c r="M124" s="7">
        <v>0.0</v>
      </c>
      <c r="N124" s="7">
        <v>99.83728281</v>
      </c>
      <c r="O124" s="7">
        <v>0.1537015262</v>
      </c>
      <c r="P124" s="7">
        <v>0.009015663296</v>
      </c>
      <c r="Q124" s="7">
        <v>0.0</v>
      </c>
      <c r="R124" s="8">
        <f t="shared" si="4"/>
        <v>17</v>
      </c>
      <c r="S124" s="8">
        <f t="shared" si="60"/>
        <v>9904608.398</v>
      </c>
      <c r="T124" s="8">
        <f t="shared" si="61"/>
        <v>5780230.152</v>
      </c>
      <c r="U124" s="8">
        <f t="shared" si="7"/>
        <v>4124378.246</v>
      </c>
      <c r="V124" s="8">
        <f t="shared" ref="V124:W124" si="259">T124/1000</f>
        <v>5780.230152</v>
      </c>
      <c r="W124" s="8">
        <f t="shared" si="259"/>
        <v>4124.378246</v>
      </c>
      <c r="X124" s="8">
        <f t="shared" si="9"/>
        <v>41.64100266</v>
      </c>
      <c r="Y124" s="8">
        <f t="shared" si="10"/>
        <v>59</v>
      </c>
      <c r="Z124" s="8">
        <f t="shared" si="11"/>
        <v>42</v>
      </c>
      <c r="AA124" s="8">
        <f t="shared" si="12"/>
        <v>10</v>
      </c>
      <c r="AB124" s="8">
        <f t="shared" ref="AB124:AC124" si="260">ROUNDUP(V124/1000,0)</f>
        <v>6</v>
      </c>
      <c r="AC124" s="8">
        <f t="shared" si="260"/>
        <v>5</v>
      </c>
      <c r="AD124" s="8">
        <f t="shared" si="188"/>
        <v>96</v>
      </c>
      <c r="AE124" s="8">
        <f t="shared" si="15"/>
        <v>1</v>
      </c>
    </row>
    <row r="125" ht="22.5" customHeight="1">
      <c r="A125" s="7" t="s">
        <v>185</v>
      </c>
      <c r="B125" s="7" t="s">
        <v>44</v>
      </c>
      <c r="C125" s="7">
        <f t="shared" si="3"/>
        <v>4</v>
      </c>
      <c r="D125" s="7">
        <v>10099.26953</v>
      </c>
      <c r="E125" s="7">
        <v>87.97699738</v>
      </c>
      <c r="F125" s="7">
        <v>99.82686763</v>
      </c>
      <c r="G125" s="7">
        <v>0.0</v>
      </c>
      <c r="H125" s="7">
        <v>0.1731323735</v>
      </c>
      <c r="I125" s="7">
        <v>0.0</v>
      </c>
      <c r="J125" s="7">
        <v>99.71937474</v>
      </c>
      <c r="K125" s="7">
        <v>0.0</v>
      </c>
      <c r="L125" s="7">
        <v>0.2806252626</v>
      </c>
      <c r="M125" s="7">
        <v>0.0</v>
      </c>
      <c r="N125" s="7">
        <v>99.84155768</v>
      </c>
      <c r="O125" s="7">
        <v>0.0</v>
      </c>
      <c r="P125" s="7">
        <v>0.1584423157</v>
      </c>
      <c r="Q125" s="7">
        <v>0.0</v>
      </c>
      <c r="R125" s="8">
        <f t="shared" si="4"/>
        <v>17</v>
      </c>
      <c r="S125" s="8">
        <f t="shared" si="60"/>
        <v>10099269.53</v>
      </c>
      <c r="T125" s="8">
        <f t="shared" si="61"/>
        <v>8885034.09</v>
      </c>
      <c r="U125" s="8">
        <f t="shared" si="7"/>
        <v>1214235.44</v>
      </c>
      <c r="V125" s="8">
        <f t="shared" ref="V125:W125" si="261">T125/1000</f>
        <v>8885.03409</v>
      </c>
      <c r="W125" s="8">
        <f t="shared" si="261"/>
        <v>1214.23544</v>
      </c>
      <c r="X125" s="8">
        <f t="shared" si="9"/>
        <v>12.02300262</v>
      </c>
      <c r="Y125" s="8">
        <f t="shared" si="10"/>
        <v>88</v>
      </c>
      <c r="Z125" s="8">
        <f t="shared" si="11"/>
        <v>13</v>
      </c>
      <c r="AA125" s="8">
        <f t="shared" si="12"/>
        <v>11</v>
      </c>
      <c r="AB125" s="8">
        <f t="shared" ref="AB125:AC125" si="262">ROUNDUP(V125/1000,0)</f>
        <v>9</v>
      </c>
      <c r="AC125" s="8">
        <f t="shared" si="262"/>
        <v>2</v>
      </c>
      <c r="AD125" s="8">
        <f t="shared" si="188"/>
        <v>100</v>
      </c>
      <c r="AE125" s="8">
        <f t="shared" si="15"/>
        <v>1</v>
      </c>
    </row>
    <row r="126" ht="22.5" customHeight="1">
      <c r="A126" s="7" t="s">
        <v>186</v>
      </c>
      <c r="B126" s="7" t="s">
        <v>47</v>
      </c>
      <c r="C126" s="7">
        <f t="shared" si="3"/>
        <v>3</v>
      </c>
      <c r="D126" s="7">
        <v>10139.1748</v>
      </c>
      <c r="E126" s="7">
        <v>56.39700317</v>
      </c>
      <c r="F126" s="7">
        <v>96.04337613</v>
      </c>
      <c r="G126" s="7">
        <v>1.04278118</v>
      </c>
      <c r="H126" s="7">
        <v>2.913842688</v>
      </c>
      <c r="I126" s="7">
        <v>0.0</v>
      </c>
      <c r="J126" s="7">
        <v>90.92579795</v>
      </c>
      <c r="K126" s="7">
        <v>2.391535671</v>
      </c>
      <c r="L126" s="7">
        <v>6.682666377</v>
      </c>
      <c r="M126" s="7">
        <v>0.0</v>
      </c>
      <c r="N126" s="7">
        <v>100.0</v>
      </c>
      <c r="O126" s="7">
        <v>0.0</v>
      </c>
      <c r="P126" s="7">
        <v>0.0</v>
      </c>
      <c r="Q126" s="7">
        <v>0.0</v>
      </c>
      <c r="R126" s="8">
        <f t="shared" si="4"/>
        <v>17</v>
      </c>
      <c r="S126" s="8">
        <f t="shared" si="60"/>
        <v>10139174.8</v>
      </c>
      <c r="T126" s="8">
        <f t="shared" si="61"/>
        <v>5718190.733</v>
      </c>
      <c r="U126" s="8">
        <f t="shared" si="7"/>
        <v>4420984.067</v>
      </c>
      <c r="V126" s="8">
        <f t="shared" ref="V126:W126" si="263">T126/1000</f>
        <v>5718.190733</v>
      </c>
      <c r="W126" s="8">
        <f t="shared" si="263"/>
        <v>4420.984067</v>
      </c>
      <c r="X126" s="8">
        <f t="shared" si="9"/>
        <v>43.60299683</v>
      </c>
      <c r="Y126" s="8">
        <f t="shared" si="10"/>
        <v>57</v>
      </c>
      <c r="Z126" s="8">
        <f t="shared" si="11"/>
        <v>44</v>
      </c>
      <c r="AA126" s="8">
        <f t="shared" si="12"/>
        <v>11</v>
      </c>
      <c r="AB126" s="8">
        <f t="shared" ref="AB126:AC126" si="264">ROUNDUP(V126/1000,0)</f>
        <v>6</v>
      </c>
      <c r="AC126" s="8">
        <f t="shared" si="264"/>
        <v>5</v>
      </c>
      <c r="AD126" s="8">
        <f t="shared" si="188"/>
        <v>96</v>
      </c>
      <c r="AE126" s="8">
        <f t="shared" si="15"/>
        <v>1</v>
      </c>
    </row>
    <row r="127" ht="22.5" customHeight="1">
      <c r="A127" s="7" t="s">
        <v>187</v>
      </c>
      <c r="B127" s="7" t="s">
        <v>44</v>
      </c>
      <c r="C127" s="7">
        <f t="shared" si="3"/>
        <v>4</v>
      </c>
      <c r="D127" s="7">
        <v>10196.70703</v>
      </c>
      <c r="E127" s="7">
        <v>66.30999756</v>
      </c>
      <c r="F127" s="7">
        <v>99.91199367</v>
      </c>
      <c r="G127" s="7">
        <v>0.0</v>
      </c>
      <c r="H127" s="7">
        <v>0.08800633369</v>
      </c>
      <c r="I127" s="7">
        <v>0.0</v>
      </c>
      <c r="J127" s="7">
        <v>99.73877609</v>
      </c>
      <c r="K127" s="7">
        <v>0.0</v>
      </c>
      <c r="L127" s="7">
        <v>0.2612239122</v>
      </c>
      <c r="M127" s="7">
        <v>0.0</v>
      </c>
      <c r="N127" s="7">
        <v>100.0</v>
      </c>
      <c r="O127" s="7">
        <v>0.0</v>
      </c>
      <c r="P127" s="7">
        <v>0.0</v>
      </c>
      <c r="Q127" s="7">
        <v>0.0</v>
      </c>
      <c r="R127" s="8">
        <f t="shared" si="4"/>
        <v>17</v>
      </c>
      <c r="S127" s="8">
        <f t="shared" si="60"/>
        <v>10196707.03</v>
      </c>
      <c r="T127" s="8">
        <f t="shared" si="61"/>
        <v>6761436.183</v>
      </c>
      <c r="U127" s="8">
        <f t="shared" si="7"/>
        <v>3435270.847</v>
      </c>
      <c r="V127" s="8">
        <f t="shared" ref="V127:W127" si="265">T127/1000</f>
        <v>6761.436183</v>
      </c>
      <c r="W127" s="8">
        <f t="shared" si="265"/>
        <v>3435.270847</v>
      </c>
      <c r="X127" s="8">
        <f t="shared" si="9"/>
        <v>33.69000244</v>
      </c>
      <c r="Y127" s="8">
        <f t="shared" si="10"/>
        <v>67</v>
      </c>
      <c r="Z127" s="8">
        <f t="shared" si="11"/>
        <v>34</v>
      </c>
      <c r="AA127" s="8">
        <f t="shared" si="12"/>
        <v>11</v>
      </c>
      <c r="AB127" s="8">
        <f t="shared" ref="AB127:AC127" si="266">ROUNDUP(V127/1000,0)</f>
        <v>7</v>
      </c>
      <c r="AC127" s="8">
        <f t="shared" si="266"/>
        <v>4</v>
      </c>
      <c r="AD127" s="8">
        <f t="shared" si="188"/>
        <v>100</v>
      </c>
      <c r="AE127" s="8">
        <f t="shared" si="15"/>
        <v>1</v>
      </c>
    </row>
    <row r="128" ht="22.5" customHeight="1">
      <c r="A128" s="7" t="s">
        <v>188</v>
      </c>
      <c r="B128" s="7" t="s">
        <v>47</v>
      </c>
      <c r="C128" s="7">
        <f t="shared" si="3"/>
        <v>3</v>
      </c>
      <c r="D128" s="7">
        <v>10203.13965</v>
      </c>
      <c r="E128" s="7">
        <v>91.41799927</v>
      </c>
      <c r="F128" s="7">
        <v>98.94030296</v>
      </c>
      <c r="G128" s="7">
        <v>0.1462147369</v>
      </c>
      <c r="H128" s="7">
        <v>0.8536474704</v>
      </c>
      <c r="I128" s="7">
        <v>0.05983483179</v>
      </c>
      <c r="J128" s="7">
        <v>97.31147869</v>
      </c>
      <c r="K128" s="7">
        <v>0.6239465945</v>
      </c>
      <c r="L128" s="7">
        <v>2.024714716</v>
      </c>
      <c r="M128" s="7">
        <v>0.03986</v>
      </c>
      <c r="N128" s="7">
        <v>99.09321259</v>
      </c>
      <c r="O128" s="7">
        <v>0.1013669408</v>
      </c>
      <c r="P128" s="7">
        <v>0.7437104707</v>
      </c>
      <c r="Q128" s="7">
        <v>0.06171</v>
      </c>
      <c r="R128" s="8">
        <f t="shared" si="4"/>
        <v>17</v>
      </c>
      <c r="S128" s="8">
        <f t="shared" si="60"/>
        <v>10203139.65</v>
      </c>
      <c r="T128" s="8">
        <f t="shared" si="61"/>
        <v>9327506.131</v>
      </c>
      <c r="U128" s="8">
        <f t="shared" si="7"/>
        <v>875633.5192</v>
      </c>
      <c r="V128" s="8">
        <f t="shared" ref="V128:W128" si="267">T128/1000</f>
        <v>9327.506131</v>
      </c>
      <c r="W128" s="8">
        <f t="shared" si="267"/>
        <v>875.6335192</v>
      </c>
      <c r="X128" s="8">
        <f t="shared" si="9"/>
        <v>8.58200073</v>
      </c>
      <c r="Y128" s="8">
        <f t="shared" si="10"/>
        <v>92</v>
      </c>
      <c r="Z128" s="8">
        <f t="shared" si="11"/>
        <v>9</v>
      </c>
      <c r="AA128" s="8">
        <f t="shared" si="12"/>
        <v>11</v>
      </c>
      <c r="AB128" s="8">
        <f t="shared" ref="AB128:AC128" si="268">ROUNDUP(V128/1000,0)</f>
        <v>10</v>
      </c>
      <c r="AC128" s="8">
        <f t="shared" si="268"/>
        <v>1</v>
      </c>
      <c r="AD128" s="8">
        <f t="shared" si="188"/>
        <v>99</v>
      </c>
      <c r="AE128" s="8">
        <f t="shared" si="15"/>
        <v>1</v>
      </c>
    </row>
    <row r="129" ht="22.5" customHeight="1">
      <c r="A129" s="7" t="s">
        <v>189</v>
      </c>
      <c r="B129" s="7" t="s">
        <v>44</v>
      </c>
      <c r="C129" s="7">
        <f t="shared" si="3"/>
        <v>4</v>
      </c>
      <c r="D129" s="7">
        <v>10423.05566</v>
      </c>
      <c r="E129" s="7">
        <v>79.71500397</v>
      </c>
      <c r="F129" s="7">
        <v>100.0000023</v>
      </c>
      <c r="G129" s="7">
        <v>0.0</v>
      </c>
      <c r="H129" s="7">
        <v>0.0</v>
      </c>
      <c r="I129" s="7">
        <v>0.0</v>
      </c>
      <c r="J129" s="7">
        <v>100.0</v>
      </c>
      <c r="K129" s="7">
        <v>0.0</v>
      </c>
      <c r="L129" s="7">
        <v>0.0</v>
      </c>
      <c r="M129" s="7">
        <v>0.0</v>
      </c>
      <c r="N129" s="7">
        <v>100.0</v>
      </c>
      <c r="O129" s="7">
        <v>0.0</v>
      </c>
      <c r="P129" s="7">
        <v>0.0</v>
      </c>
      <c r="Q129" s="7">
        <v>0.0</v>
      </c>
      <c r="R129" s="8">
        <f t="shared" si="4"/>
        <v>17</v>
      </c>
      <c r="S129" s="8">
        <f t="shared" si="60"/>
        <v>10423055.66</v>
      </c>
      <c r="T129" s="8">
        <f t="shared" si="61"/>
        <v>8308739.233</v>
      </c>
      <c r="U129" s="8">
        <f t="shared" si="7"/>
        <v>2114316.427</v>
      </c>
      <c r="V129" s="8">
        <f t="shared" ref="V129:W129" si="269">T129/1000</f>
        <v>8308.739233</v>
      </c>
      <c r="W129" s="8">
        <f t="shared" si="269"/>
        <v>2114.316427</v>
      </c>
      <c r="X129" s="8">
        <f t="shared" si="9"/>
        <v>20.28499603</v>
      </c>
      <c r="Y129" s="8">
        <f t="shared" si="10"/>
        <v>80</v>
      </c>
      <c r="Z129" s="8">
        <f t="shared" si="11"/>
        <v>21</v>
      </c>
      <c r="AA129" s="8">
        <f t="shared" si="12"/>
        <v>11</v>
      </c>
      <c r="AB129" s="8">
        <f t="shared" ref="AB129:AC129" si="270">ROUNDUP(V129/1000,0)</f>
        <v>9</v>
      </c>
      <c r="AC129" s="8">
        <f t="shared" si="270"/>
        <v>3</v>
      </c>
      <c r="AD129" s="8">
        <f t="shared" si="188"/>
        <v>100</v>
      </c>
      <c r="AE129" s="8">
        <f t="shared" si="15"/>
        <v>1</v>
      </c>
    </row>
    <row r="130" ht="22.5" customHeight="1">
      <c r="A130" s="7" t="s">
        <v>190</v>
      </c>
      <c r="B130" s="7" t="s">
        <v>44</v>
      </c>
      <c r="C130" s="7">
        <f t="shared" si="3"/>
        <v>4</v>
      </c>
      <c r="D130" s="7">
        <v>10708.98242</v>
      </c>
      <c r="E130" s="7">
        <v>74.06100464</v>
      </c>
      <c r="F130" s="7">
        <v>99.88059167</v>
      </c>
      <c r="G130" s="7">
        <v>0.0</v>
      </c>
      <c r="H130" s="7">
        <v>0.1194083325</v>
      </c>
      <c r="I130" s="7">
        <v>0.0</v>
      </c>
      <c r="J130" s="7">
        <v>99.8175993</v>
      </c>
      <c r="K130" s="7">
        <v>0.0</v>
      </c>
      <c r="L130" s="7">
        <v>0.1824006965</v>
      </c>
      <c r="M130" s="7">
        <v>0.0</v>
      </c>
      <c r="N130" s="7">
        <v>99.90265093</v>
      </c>
      <c r="O130" s="7">
        <v>0.0</v>
      </c>
      <c r="P130" s="7">
        <v>0.0973490679</v>
      </c>
      <c r="Q130" s="7">
        <v>0.0</v>
      </c>
      <c r="R130" s="8">
        <f t="shared" si="4"/>
        <v>17</v>
      </c>
      <c r="S130" s="8">
        <f t="shared" si="60"/>
        <v>10708982.42</v>
      </c>
      <c r="T130" s="8">
        <f t="shared" si="61"/>
        <v>7931179.967</v>
      </c>
      <c r="U130" s="8">
        <f t="shared" si="7"/>
        <v>2777802.453</v>
      </c>
      <c r="V130" s="8">
        <f t="shared" ref="V130:W130" si="271">T130/1000</f>
        <v>7931.179967</v>
      </c>
      <c r="W130" s="8">
        <f t="shared" si="271"/>
        <v>2777.802453</v>
      </c>
      <c r="X130" s="8">
        <f t="shared" si="9"/>
        <v>25.93899536</v>
      </c>
      <c r="Y130" s="8">
        <f t="shared" si="10"/>
        <v>75</v>
      </c>
      <c r="Z130" s="8">
        <f t="shared" si="11"/>
        <v>26</v>
      </c>
      <c r="AA130" s="8">
        <f t="shared" si="12"/>
        <v>11</v>
      </c>
      <c r="AB130" s="8">
        <f t="shared" ref="AB130:AC130" si="272">ROUNDUP(V130/1000,0)</f>
        <v>8</v>
      </c>
      <c r="AC130" s="8">
        <f t="shared" si="272"/>
        <v>3</v>
      </c>
      <c r="AD130" s="8">
        <f t="shared" si="188"/>
        <v>100</v>
      </c>
      <c r="AE130" s="8">
        <f t="shared" si="15"/>
        <v>1</v>
      </c>
    </row>
    <row r="131" ht="22.5" customHeight="1">
      <c r="A131" s="7" t="s">
        <v>191</v>
      </c>
      <c r="B131" s="7" t="s">
        <v>47</v>
      </c>
      <c r="C131" s="7">
        <f t="shared" si="3"/>
        <v>3</v>
      </c>
      <c r="D131" s="7">
        <v>10847.9043</v>
      </c>
      <c r="E131" s="7">
        <v>82.54000092</v>
      </c>
      <c r="F131" s="7">
        <v>96.68681192</v>
      </c>
      <c r="G131" s="7">
        <v>0.4670386504</v>
      </c>
      <c r="H131" s="7">
        <v>1.269428783</v>
      </c>
      <c r="I131" s="7">
        <v>1.576720644</v>
      </c>
      <c r="J131" s="7">
        <v>90.30446437</v>
      </c>
      <c r="K131" s="7">
        <v>1.385315508</v>
      </c>
      <c r="L131" s="7">
        <v>1.115118127</v>
      </c>
      <c r="M131" s="7">
        <v>7.195101991</v>
      </c>
      <c r="N131" s="7">
        <v>98.03689158</v>
      </c>
      <c r="O131" s="7">
        <v>0.2727920359</v>
      </c>
      <c r="P131" s="7">
        <v>1.302073396</v>
      </c>
      <c r="Q131" s="7">
        <v>0.3882429922</v>
      </c>
      <c r="R131" s="8">
        <f t="shared" si="4"/>
        <v>17</v>
      </c>
      <c r="S131" s="8">
        <f t="shared" si="60"/>
        <v>10847904.3</v>
      </c>
      <c r="T131" s="8">
        <f t="shared" si="61"/>
        <v>8953860.309</v>
      </c>
      <c r="U131" s="8">
        <f t="shared" si="7"/>
        <v>1894043.991</v>
      </c>
      <c r="V131" s="8">
        <f t="shared" ref="V131:W131" si="273">T131/1000</f>
        <v>8953.860309</v>
      </c>
      <c r="W131" s="8">
        <f t="shared" si="273"/>
        <v>1894.043991</v>
      </c>
      <c r="X131" s="8">
        <f t="shared" si="9"/>
        <v>17.45999908</v>
      </c>
      <c r="Y131" s="8">
        <f t="shared" si="10"/>
        <v>83</v>
      </c>
      <c r="Z131" s="8">
        <f t="shared" si="11"/>
        <v>18</v>
      </c>
      <c r="AA131" s="8">
        <f t="shared" si="12"/>
        <v>11</v>
      </c>
      <c r="AB131" s="8">
        <f t="shared" ref="AB131:AC131" si="274">ROUNDUP(V131/1000,0)</f>
        <v>9</v>
      </c>
      <c r="AC131" s="8">
        <f t="shared" si="274"/>
        <v>2</v>
      </c>
      <c r="AD131" s="8">
        <f t="shared" si="188"/>
        <v>97</v>
      </c>
      <c r="AE131" s="8">
        <f t="shared" si="15"/>
        <v>1</v>
      </c>
    </row>
    <row r="132" ht="22.5" customHeight="1">
      <c r="A132" s="7" t="s">
        <v>192</v>
      </c>
      <c r="B132" s="7" t="s">
        <v>118</v>
      </c>
      <c r="C132" s="7">
        <f t="shared" si="3"/>
        <v>1</v>
      </c>
      <c r="D132" s="7">
        <v>11193.72852</v>
      </c>
      <c r="E132" s="7">
        <v>20.1989994</v>
      </c>
      <c r="F132" s="7">
        <v>40.95092717</v>
      </c>
      <c r="G132" s="7">
        <v>37.42696287</v>
      </c>
      <c r="H132" s="7">
        <v>13.53755519</v>
      </c>
      <c r="I132" s="7">
        <v>8.084554762</v>
      </c>
      <c r="J132" s="7">
        <v>33.59362881</v>
      </c>
      <c r="K132" s="7">
        <v>42.16438068</v>
      </c>
      <c r="L132" s="7">
        <v>14.11109616</v>
      </c>
      <c r="M132" s="7">
        <v>10.13089435</v>
      </c>
      <c r="N132" s="7">
        <v>70.01770445</v>
      </c>
      <c r="O132" s="7">
        <v>18.71066092</v>
      </c>
      <c r="P132" s="7">
        <v>11.27163464</v>
      </c>
      <c r="Q132" s="7">
        <v>0.0</v>
      </c>
      <c r="R132" s="8">
        <f t="shared" si="4"/>
        <v>17</v>
      </c>
      <c r="S132" s="8">
        <f t="shared" si="60"/>
        <v>11193728.52</v>
      </c>
      <c r="T132" s="8">
        <f t="shared" si="61"/>
        <v>2261021.157</v>
      </c>
      <c r="U132" s="8">
        <f t="shared" si="7"/>
        <v>8932707.363</v>
      </c>
      <c r="V132" s="8">
        <f t="shared" ref="V132:W132" si="275">T132/1000</f>
        <v>2261.021157</v>
      </c>
      <c r="W132" s="8">
        <f t="shared" si="275"/>
        <v>8932.707363</v>
      </c>
      <c r="X132" s="8">
        <f t="shared" si="9"/>
        <v>79.8010006</v>
      </c>
      <c r="Y132" s="8">
        <f t="shared" si="10"/>
        <v>21</v>
      </c>
      <c r="Z132" s="8">
        <f t="shared" si="11"/>
        <v>80</v>
      </c>
      <c r="AA132" s="8">
        <f t="shared" si="12"/>
        <v>12</v>
      </c>
      <c r="AB132" s="8">
        <f t="shared" ref="AB132:AC132" si="276">ROUNDUP(V132/1000,0)</f>
        <v>3</v>
      </c>
      <c r="AC132" s="8">
        <f t="shared" si="276"/>
        <v>9</v>
      </c>
      <c r="AD132" s="8">
        <f t="shared" si="188"/>
        <v>41</v>
      </c>
      <c r="AE132" s="8">
        <f t="shared" si="15"/>
        <v>1</v>
      </c>
    </row>
    <row r="133" ht="22.5" customHeight="1">
      <c r="A133" s="7" t="s">
        <v>193</v>
      </c>
      <c r="B133" s="7" t="s">
        <v>47</v>
      </c>
      <c r="C133" s="7">
        <f t="shared" si="3"/>
        <v>3</v>
      </c>
      <c r="D133" s="7">
        <v>11326.61621</v>
      </c>
      <c r="E133" s="7">
        <v>77.19400024</v>
      </c>
      <c r="F133" s="7">
        <v>97.00269616</v>
      </c>
      <c r="G133" s="7">
        <v>1.471384542</v>
      </c>
      <c r="H133" s="7">
        <v>1.252811506</v>
      </c>
      <c r="I133" s="7">
        <v>0.2731077963</v>
      </c>
      <c r="J133" s="7">
        <v>94.38665114</v>
      </c>
      <c r="K133" s="7">
        <v>2.591752445</v>
      </c>
      <c r="L133" s="7">
        <v>1.905972935</v>
      </c>
      <c r="M133" s="7">
        <v>1.115623477</v>
      </c>
      <c r="N133" s="7">
        <v>97.77557664</v>
      </c>
      <c r="O133" s="7">
        <v>1.1403859</v>
      </c>
      <c r="P133" s="7">
        <v>1.059840374</v>
      </c>
      <c r="Q133" s="7">
        <v>0.02419708411</v>
      </c>
      <c r="R133" s="8">
        <f t="shared" si="4"/>
        <v>17</v>
      </c>
      <c r="S133" s="8">
        <f t="shared" si="60"/>
        <v>11326616.21</v>
      </c>
      <c r="T133" s="8">
        <f t="shared" si="61"/>
        <v>8743468.144</v>
      </c>
      <c r="U133" s="8">
        <f t="shared" si="7"/>
        <v>2583148.066</v>
      </c>
      <c r="V133" s="8">
        <f t="shared" ref="V133:W133" si="277">T133/1000</f>
        <v>8743.468144</v>
      </c>
      <c r="W133" s="8">
        <f t="shared" si="277"/>
        <v>2583.148066</v>
      </c>
      <c r="X133" s="8">
        <f t="shared" si="9"/>
        <v>22.80599976</v>
      </c>
      <c r="Y133" s="8">
        <f t="shared" si="10"/>
        <v>78</v>
      </c>
      <c r="Z133" s="8">
        <f t="shared" si="11"/>
        <v>23</v>
      </c>
      <c r="AA133" s="8">
        <f t="shared" si="12"/>
        <v>12</v>
      </c>
      <c r="AB133" s="8">
        <f t="shared" ref="AB133:AC133" si="278">ROUNDUP(V133/1000,0)</f>
        <v>9</v>
      </c>
      <c r="AC133" s="8">
        <f t="shared" si="278"/>
        <v>3</v>
      </c>
      <c r="AD133" s="8">
        <f t="shared" si="188"/>
        <v>97</v>
      </c>
      <c r="AE133" s="8">
        <f t="shared" si="15"/>
        <v>1</v>
      </c>
    </row>
    <row r="134" ht="22.5" customHeight="1">
      <c r="A134" s="7" t="s">
        <v>194</v>
      </c>
      <c r="B134" s="7" t="s">
        <v>67</v>
      </c>
      <c r="C134" s="7">
        <f t="shared" si="3"/>
        <v>2</v>
      </c>
      <c r="D134" s="7">
        <v>11402.5332</v>
      </c>
      <c r="E134" s="7">
        <v>57.08799744</v>
      </c>
      <c r="F134" s="7">
        <v>66.6953084</v>
      </c>
      <c r="G134" s="7">
        <v>9.814543652</v>
      </c>
      <c r="H134" s="7">
        <v>23.49014795</v>
      </c>
      <c r="I134" s="7">
        <v>0.0</v>
      </c>
      <c r="J134" s="7">
        <v>42.8457001</v>
      </c>
      <c r="K134" s="7">
        <v>13.25598695</v>
      </c>
      <c r="L134" s="7">
        <v>43.89831295</v>
      </c>
      <c r="M134" s="7">
        <v>0.0</v>
      </c>
      <c r="N134" s="7">
        <v>84.62262129</v>
      </c>
      <c r="O134" s="7">
        <v>7.227673879</v>
      </c>
      <c r="P134" s="7">
        <v>8.149704835</v>
      </c>
      <c r="Q134" s="7">
        <v>0.0</v>
      </c>
      <c r="R134" s="8">
        <f t="shared" si="4"/>
        <v>17</v>
      </c>
      <c r="S134" s="8">
        <f t="shared" si="60"/>
        <v>11402533.2</v>
      </c>
      <c r="T134" s="8">
        <f t="shared" si="61"/>
        <v>6509477.861</v>
      </c>
      <c r="U134" s="8">
        <f t="shared" si="7"/>
        <v>4893055.339</v>
      </c>
      <c r="V134" s="8">
        <f t="shared" ref="V134:W134" si="279">T134/1000</f>
        <v>6509.477861</v>
      </c>
      <c r="W134" s="8">
        <f t="shared" si="279"/>
        <v>4893.055339</v>
      </c>
      <c r="X134" s="8">
        <f t="shared" si="9"/>
        <v>42.91200256</v>
      </c>
      <c r="Y134" s="8">
        <f t="shared" si="10"/>
        <v>58</v>
      </c>
      <c r="Z134" s="8">
        <f t="shared" si="11"/>
        <v>43</v>
      </c>
      <c r="AA134" s="8">
        <f t="shared" si="12"/>
        <v>12</v>
      </c>
      <c r="AB134" s="8">
        <f t="shared" ref="AB134:AC134" si="280">ROUNDUP(V134/1000,0)</f>
        <v>7</v>
      </c>
      <c r="AC134" s="8">
        <f t="shared" si="280"/>
        <v>5</v>
      </c>
      <c r="AD134" s="8">
        <f t="shared" si="188"/>
        <v>67</v>
      </c>
      <c r="AE134" s="8">
        <f t="shared" si="15"/>
        <v>1</v>
      </c>
    </row>
    <row r="135" ht="22.5" customHeight="1">
      <c r="A135" s="7" t="s">
        <v>195</v>
      </c>
      <c r="B135" s="7" t="s">
        <v>44</v>
      </c>
      <c r="C135" s="7">
        <f t="shared" si="3"/>
        <v>4</v>
      </c>
      <c r="D135" s="7">
        <v>11589.61621</v>
      </c>
      <c r="E135" s="7">
        <v>98.07899475</v>
      </c>
      <c r="F135" s="7">
        <v>99.99999645</v>
      </c>
      <c r="G135" s="7">
        <v>0.0</v>
      </c>
      <c r="H135" s="7">
        <v>3.554796791E-6</v>
      </c>
      <c r="I135" s="7">
        <v>0.0</v>
      </c>
      <c r="J135" s="7">
        <v>100.0</v>
      </c>
      <c r="K135" s="7">
        <v>0.0</v>
      </c>
      <c r="L135" s="7">
        <v>0.0</v>
      </c>
      <c r="M135" s="7">
        <v>0.0</v>
      </c>
      <c r="N135" s="7">
        <v>100.0</v>
      </c>
      <c r="O135" s="7">
        <v>0.0</v>
      </c>
      <c r="P135" s="7">
        <v>0.0</v>
      </c>
      <c r="Q135" s="7">
        <v>0.0</v>
      </c>
      <c r="R135" s="8">
        <f t="shared" si="4"/>
        <v>17</v>
      </c>
      <c r="S135" s="8">
        <f t="shared" si="60"/>
        <v>11589616.21</v>
      </c>
      <c r="T135" s="8">
        <f t="shared" si="61"/>
        <v>11366979.07</v>
      </c>
      <c r="U135" s="8">
        <f t="shared" si="7"/>
        <v>222637.1358</v>
      </c>
      <c r="V135" s="8">
        <f t="shared" ref="V135:W135" si="281">T135/1000</f>
        <v>11366.97907</v>
      </c>
      <c r="W135" s="8">
        <f t="shared" si="281"/>
        <v>222.6371358</v>
      </c>
      <c r="X135" s="8">
        <f t="shared" si="9"/>
        <v>1.92100525</v>
      </c>
      <c r="Y135" s="8">
        <f t="shared" si="10"/>
        <v>99</v>
      </c>
      <c r="Z135" s="8">
        <f t="shared" si="11"/>
        <v>2</v>
      </c>
      <c r="AA135" s="8">
        <f t="shared" si="12"/>
        <v>12</v>
      </c>
      <c r="AB135" s="8">
        <f t="shared" ref="AB135:AC135" si="282">ROUNDUP(V135/1000,0)</f>
        <v>12</v>
      </c>
      <c r="AC135" s="8">
        <f t="shared" si="282"/>
        <v>1</v>
      </c>
      <c r="AD135" s="8">
        <f t="shared" si="188"/>
        <v>100</v>
      </c>
      <c r="AE135" s="8">
        <f t="shared" si="15"/>
        <v>1</v>
      </c>
    </row>
    <row r="136" ht="22.5" customHeight="1">
      <c r="A136" s="7" t="s">
        <v>196</v>
      </c>
      <c r="B136" s="7" t="s">
        <v>67</v>
      </c>
      <c r="C136" s="7">
        <f t="shared" si="3"/>
        <v>2</v>
      </c>
      <c r="D136" s="7">
        <v>11673.0293</v>
      </c>
      <c r="E136" s="7">
        <v>70.1230011</v>
      </c>
      <c r="F136" s="7">
        <v>93.39007163</v>
      </c>
      <c r="G136" s="7">
        <v>0.1365905296</v>
      </c>
      <c r="H136" s="7">
        <v>1.575010843</v>
      </c>
      <c r="I136" s="7">
        <v>4.898326997</v>
      </c>
      <c r="J136" s="7">
        <v>79.93664283</v>
      </c>
      <c r="K136" s="7">
        <v>0.2447364082</v>
      </c>
      <c r="L136" s="7">
        <v>3.954133693</v>
      </c>
      <c r="M136" s="7">
        <v>15.86448707</v>
      </c>
      <c r="N136" s="7">
        <v>99.12211832</v>
      </c>
      <c r="O136" s="7">
        <v>0.09051328947</v>
      </c>
      <c r="P136" s="7">
        <v>0.5613453808</v>
      </c>
      <c r="Q136" s="7">
        <v>0.2260230112</v>
      </c>
      <c r="R136" s="8">
        <f t="shared" si="4"/>
        <v>17</v>
      </c>
      <c r="S136" s="8">
        <f t="shared" si="60"/>
        <v>11673029.3</v>
      </c>
      <c r="T136" s="8">
        <f t="shared" si="61"/>
        <v>8185478.464</v>
      </c>
      <c r="U136" s="8">
        <f t="shared" si="7"/>
        <v>3487550.836</v>
      </c>
      <c r="V136" s="8">
        <f t="shared" ref="V136:W136" si="283">T136/1000</f>
        <v>8185.478464</v>
      </c>
      <c r="W136" s="8">
        <f t="shared" si="283"/>
        <v>3487.550836</v>
      </c>
      <c r="X136" s="8">
        <f t="shared" si="9"/>
        <v>29.8769989</v>
      </c>
      <c r="Y136" s="8">
        <f t="shared" si="10"/>
        <v>71</v>
      </c>
      <c r="Z136" s="8">
        <f t="shared" si="11"/>
        <v>30</v>
      </c>
      <c r="AA136" s="8">
        <f t="shared" si="12"/>
        <v>12</v>
      </c>
      <c r="AB136" s="8">
        <f t="shared" ref="AB136:AC136" si="284">ROUNDUP(V136/1000,0)</f>
        <v>9</v>
      </c>
      <c r="AC136" s="8">
        <f t="shared" si="284"/>
        <v>4</v>
      </c>
      <c r="AD136" s="8">
        <f t="shared" si="188"/>
        <v>93</v>
      </c>
      <c r="AE136" s="8">
        <f t="shared" si="15"/>
        <v>1</v>
      </c>
    </row>
    <row r="137" ht="22.5" customHeight="1">
      <c r="A137" s="7" t="s">
        <v>197</v>
      </c>
      <c r="B137" s="7" t="s">
        <v>67</v>
      </c>
      <c r="C137" s="7">
        <f t="shared" si="3"/>
        <v>2</v>
      </c>
      <c r="D137" s="7">
        <v>11818.61816</v>
      </c>
      <c r="E137" s="7">
        <v>69.56800079</v>
      </c>
      <c r="F137" s="7">
        <v>97.54330899</v>
      </c>
      <c r="G137" s="7">
        <v>1.63135067</v>
      </c>
      <c r="H137" s="7">
        <v>0.8253403378</v>
      </c>
      <c r="I137" s="7">
        <v>0.0</v>
      </c>
      <c r="J137" s="7">
        <v>93.93623193</v>
      </c>
      <c r="K137" s="7">
        <v>3.351687357</v>
      </c>
      <c r="L137" s="7">
        <v>2.71208071</v>
      </c>
      <c r="M137" s="7">
        <v>0.0</v>
      </c>
      <c r="N137" s="7">
        <v>99.12119763</v>
      </c>
      <c r="O137" s="7">
        <v>0.8788023684</v>
      </c>
      <c r="P137" s="7">
        <v>0.0</v>
      </c>
      <c r="Q137" s="7">
        <v>0.0</v>
      </c>
      <c r="R137" s="8">
        <f t="shared" si="4"/>
        <v>17</v>
      </c>
      <c r="S137" s="8">
        <f t="shared" si="60"/>
        <v>11818618.16</v>
      </c>
      <c r="T137" s="8">
        <f t="shared" si="61"/>
        <v>8221976.375</v>
      </c>
      <c r="U137" s="8">
        <f t="shared" si="7"/>
        <v>3596641.785</v>
      </c>
      <c r="V137" s="8">
        <f t="shared" ref="V137:W137" si="285">T137/1000</f>
        <v>8221.976375</v>
      </c>
      <c r="W137" s="8">
        <f t="shared" si="285"/>
        <v>3596.641785</v>
      </c>
      <c r="X137" s="8">
        <f t="shared" si="9"/>
        <v>30.43199921</v>
      </c>
      <c r="Y137" s="8">
        <f t="shared" si="10"/>
        <v>70</v>
      </c>
      <c r="Z137" s="8">
        <f t="shared" si="11"/>
        <v>31</v>
      </c>
      <c r="AA137" s="8">
        <f t="shared" si="12"/>
        <v>12</v>
      </c>
      <c r="AB137" s="8">
        <f t="shared" ref="AB137:AC137" si="286">ROUNDUP(V137/1000,0)</f>
        <v>9</v>
      </c>
      <c r="AC137" s="8">
        <f t="shared" si="286"/>
        <v>4</v>
      </c>
      <c r="AD137" s="8">
        <f t="shared" si="188"/>
        <v>98</v>
      </c>
      <c r="AE137" s="8">
        <f t="shared" si="15"/>
        <v>1</v>
      </c>
    </row>
    <row r="138" ht="22.5" customHeight="1">
      <c r="A138" s="7" t="s">
        <v>198</v>
      </c>
      <c r="B138" s="7" t="s">
        <v>118</v>
      </c>
      <c r="C138" s="7">
        <f t="shared" si="3"/>
        <v>1</v>
      </c>
      <c r="D138" s="7">
        <v>11890.78125</v>
      </c>
      <c r="E138" s="7">
        <v>13.70800018</v>
      </c>
      <c r="F138" s="7">
        <v>62.20712225</v>
      </c>
      <c r="G138" s="7">
        <v>19.43969314</v>
      </c>
      <c r="H138" s="7">
        <v>14.75825969</v>
      </c>
      <c r="I138" s="7">
        <v>3.594924913</v>
      </c>
      <c r="J138" s="7">
        <v>57.68576527</v>
      </c>
      <c r="K138" s="7">
        <v>21.25148213</v>
      </c>
      <c r="L138" s="7">
        <v>16.89675238</v>
      </c>
      <c r="M138" s="7">
        <v>4.166000219</v>
      </c>
      <c r="N138" s="7">
        <v>90.66911086</v>
      </c>
      <c r="O138" s="7">
        <v>8.034462869</v>
      </c>
      <c r="P138" s="7">
        <v>1.296426269</v>
      </c>
      <c r="Q138" s="7">
        <v>0.0</v>
      </c>
      <c r="R138" s="8">
        <f t="shared" si="4"/>
        <v>17</v>
      </c>
      <c r="S138" s="8">
        <f t="shared" si="60"/>
        <v>11890781.25</v>
      </c>
      <c r="T138" s="8">
        <f t="shared" si="61"/>
        <v>1629988.315</v>
      </c>
      <c r="U138" s="8">
        <f t="shared" si="7"/>
        <v>10260792.93</v>
      </c>
      <c r="V138" s="8">
        <f t="shared" ref="V138:W138" si="287">T138/1000</f>
        <v>1629.988315</v>
      </c>
      <c r="W138" s="8">
        <f t="shared" si="287"/>
        <v>10260.79293</v>
      </c>
      <c r="X138" s="8">
        <f t="shared" si="9"/>
        <v>86.29199982</v>
      </c>
      <c r="Y138" s="8">
        <f t="shared" si="10"/>
        <v>14</v>
      </c>
      <c r="Z138" s="8">
        <f t="shared" si="11"/>
        <v>87</v>
      </c>
      <c r="AA138" s="8">
        <f t="shared" si="12"/>
        <v>12</v>
      </c>
      <c r="AB138" s="8">
        <f t="shared" ref="AB138:AC138" si="288">ROUNDUP(V138/1000,0)</f>
        <v>2</v>
      </c>
      <c r="AC138" s="8">
        <f t="shared" si="288"/>
        <v>11</v>
      </c>
      <c r="AD138" s="8">
        <f t="shared" si="188"/>
        <v>62</v>
      </c>
      <c r="AE138" s="8">
        <f t="shared" si="15"/>
        <v>1</v>
      </c>
    </row>
    <row r="139" ht="22.5" customHeight="1">
      <c r="A139" s="7" t="s">
        <v>199</v>
      </c>
      <c r="B139" s="7" t="s">
        <v>67</v>
      </c>
      <c r="C139" s="7">
        <f t="shared" si="3"/>
        <v>2</v>
      </c>
      <c r="D139" s="7">
        <v>12123.19824</v>
      </c>
      <c r="E139" s="7">
        <v>48.4149971</v>
      </c>
      <c r="F139" s="7">
        <v>65.41412299</v>
      </c>
      <c r="G139" s="7">
        <v>9.317535586</v>
      </c>
      <c r="H139" s="7">
        <v>21.97254088</v>
      </c>
      <c r="I139" s="7">
        <v>3.295800547</v>
      </c>
      <c r="J139" s="7">
        <v>58.05226799</v>
      </c>
      <c r="K139" s="7">
        <v>12.70520504</v>
      </c>
      <c r="L139" s="7">
        <v>23.97796833</v>
      </c>
      <c r="M139" s="7">
        <v>5.264558634</v>
      </c>
      <c r="N139" s="7">
        <v>73.25800004</v>
      </c>
      <c r="O139" s="7">
        <v>5.708056353</v>
      </c>
      <c r="P139" s="7">
        <v>19.83580681</v>
      </c>
      <c r="Q139" s="7">
        <v>1.198136794</v>
      </c>
      <c r="R139" s="8">
        <f t="shared" si="4"/>
        <v>17</v>
      </c>
      <c r="S139" s="8">
        <f t="shared" si="60"/>
        <v>12123198.24</v>
      </c>
      <c r="T139" s="8">
        <f t="shared" si="61"/>
        <v>5869446.076</v>
      </c>
      <c r="U139" s="8">
        <f t="shared" si="7"/>
        <v>6253752.164</v>
      </c>
      <c r="V139" s="8">
        <f t="shared" ref="V139:W139" si="289">T139/1000</f>
        <v>5869.446076</v>
      </c>
      <c r="W139" s="8">
        <f t="shared" si="289"/>
        <v>6253.752164</v>
      </c>
      <c r="X139" s="8">
        <f t="shared" si="9"/>
        <v>51.5850029</v>
      </c>
      <c r="Y139" s="8">
        <f t="shared" si="10"/>
        <v>49</v>
      </c>
      <c r="Z139" s="8">
        <f t="shared" si="11"/>
        <v>52</v>
      </c>
      <c r="AA139" s="8">
        <f t="shared" si="12"/>
        <v>13</v>
      </c>
      <c r="AB139" s="8">
        <f t="shared" ref="AB139:AC139" si="290">ROUNDUP(V139/1000,0)</f>
        <v>6</v>
      </c>
      <c r="AC139" s="8">
        <f t="shared" si="290"/>
        <v>7</v>
      </c>
      <c r="AD139" s="8">
        <f t="shared" si="188"/>
        <v>65</v>
      </c>
      <c r="AE139" s="8">
        <f t="shared" si="15"/>
        <v>1</v>
      </c>
    </row>
    <row r="140" ht="22.5" customHeight="1">
      <c r="A140" s="7" t="s">
        <v>200</v>
      </c>
      <c r="B140" s="7" t="s">
        <v>118</v>
      </c>
      <c r="C140" s="7">
        <f t="shared" si="3"/>
        <v>1</v>
      </c>
      <c r="D140" s="7">
        <v>12952.20898</v>
      </c>
      <c r="E140" s="7">
        <v>17.43200111</v>
      </c>
      <c r="F140" s="7">
        <v>60.41450115</v>
      </c>
      <c r="G140" s="7">
        <v>22.3207193</v>
      </c>
      <c r="H140" s="7">
        <v>13.15480415</v>
      </c>
      <c r="I140" s="7">
        <v>4.109975401</v>
      </c>
      <c r="J140" s="7">
        <v>55.64246823</v>
      </c>
      <c r="K140" s="7">
        <v>25.08014133</v>
      </c>
      <c r="L140" s="7">
        <v>14.77886772</v>
      </c>
      <c r="M140" s="7">
        <v>4.498522714</v>
      </c>
      <c r="N140" s="7">
        <v>83.0175993</v>
      </c>
      <c r="O140" s="7">
        <v>9.250506251</v>
      </c>
      <c r="P140" s="7">
        <v>5.462303057</v>
      </c>
      <c r="Q140" s="7">
        <v>2.269591394</v>
      </c>
      <c r="R140" s="8">
        <f t="shared" si="4"/>
        <v>17</v>
      </c>
      <c r="S140" s="8">
        <f t="shared" si="60"/>
        <v>12952208.98</v>
      </c>
      <c r="T140" s="8">
        <f t="shared" si="61"/>
        <v>2257829.213</v>
      </c>
      <c r="U140" s="8">
        <f t="shared" si="7"/>
        <v>10694379.77</v>
      </c>
      <c r="V140" s="8">
        <f t="shared" ref="V140:W140" si="291">T140/1000</f>
        <v>2257.829213</v>
      </c>
      <c r="W140" s="8">
        <f t="shared" si="291"/>
        <v>10694.37977</v>
      </c>
      <c r="X140" s="8">
        <f t="shared" si="9"/>
        <v>82.56799889</v>
      </c>
      <c r="Y140" s="8">
        <f t="shared" si="10"/>
        <v>18</v>
      </c>
      <c r="Z140" s="8">
        <f t="shared" si="11"/>
        <v>83</v>
      </c>
      <c r="AA140" s="8">
        <f t="shared" si="12"/>
        <v>13</v>
      </c>
      <c r="AB140" s="8">
        <f t="shared" ref="AB140:AC140" si="292">ROUNDUP(V140/1000,0)</f>
        <v>3</v>
      </c>
      <c r="AC140" s="8">
        <f t="shared" si="292"/>
        <v>11</v>
      </c>
      <c r="AD140" s="8">
        <f t="shared" si="188"/>
        <v>60</v>
      </c>
      <c r="AE140" s="8">
        <f t="shared" si="15"/>
        <v>1</v>
      </c>
    </row>
    <row r="141" ht="22.5" customHeight="1">
      <c r="A141" s="7" t="s">
        <v>201</v>
      </c>
      <c r="B141" s="7" t="s">
        <v>118</v>
      </c>
      <c r="C141" s="7">
        <f t="shared" si="3"/>
        <v>1</v>
      </c>
      <c r="D141" s="7">
        <v>13132.79199</v>
      </c>
      <c r="E141" s="7">
        <v>36.875</v>
      </c>
      <c r="F141" s="7">
        <v>63.96178874</v>
      </c>
      <c r="G141" s="7">
        <v>21.2815915</v>
      </c>
      <c r="H141" s="7">
        <v>6.296119406</v>
      </c>
      <c r="I141" s="7">
        <v>8.460500354</v>
      </c>
      <c r="J141" s="7">
        <v>50.74817899</v>
      </c>
      <c r="K141" s="7">
        <v>26.14432944</v>
      </c>
      <c r="L141" s="7">
        <v>9.704719143</v>
      </c>
      <c r="M141" s="7">
        <v>13.40277243</v>
      </c>
      <c r="N141" s="7">
        <v>86.58169007</v>
      </c>
      <c r="O141" s="7">
        <v>12.95724153</v>
      </c>
      <c r="P141" s="7">
        <v>0.461068398</v>
      </c>
      <c r="Q141" s="7">
        <v>0.0</v>
      </c>
      <c r="R141" s="8">
        <f t="shared" si="4"/>
        <v>17</v>
      </c>
      <c r="S141" s="8">
        <f t="shared" si="60"/>
        <v>13132791.99</v>
      </c>
      <c r="T141" s="8">
        <f t="shared" si="61"/>
        <v>4842717.046</v>
      </c>
      <c r="U141" s="8">
        <f t="shared" si="7"/>
        <v>8290074.944</v>
      </c>
      <c r="V141" s="8">
        <f t="shared" ref="V141:W141" si="293">T141/1000</f>
        <v>4842.717046</v>
      </c>
      <c r="W141" s="8">
        <f t="shared" si="293"/>
        <v>8290.074944</v>
      </c>
      <c r="X141" s="8">
        <f t="shared" si="9"/>
        <v>63.125</v>
      </c>
      <c r="Y141" s="8">
        <f t="shared" si="10"/>
        <v>37</v>
      </c>
      <c r="Z141" s="8">
        <f t="shared" si="11"/>
        <v>64</v>
      </c>
      <c r="AA141" s="8">
        <f t="shared" si="12"/>
        <v>14</v>
      </c>
      <c r="AB141" s="8">
        <f t="shared" ref="AB141:AC141" si="294">ROUNDUP(V141/1000,0)</f>
        <v>5</v>
      </c>
      <c r="AC141" s="8">
        <f t="shared" si="294"/>
        <v>9</v>
      </c>
      <c r="AD141" s="8">
        <f t="shared" si="188"/>
        <v>64</v>
      </c>
      <c r="AE141" s="8">
        <f t="shared" si="15"/>
        <v>1</v>
      </c>
    </row>
    <row r="142" ht="22.5" customHeight="1">
      <c r="A142" s="7" t="s">
        <v>202</v>
      </c>
      <c r="B142" s="7" t="s">
        <v>67</v>
      </c>
      <c r="C142" s="7">
        <f t="shared" si="3"/>
        <v>2</v>
      </c>
      <c r="D142" s="7">
        <v>14862.92676</v>
      </c>
      <c r="E142" s="7">
        <v>32.24200058</v>
      </c>
      <c r="F142" s="7">
        <v>62.66645761</v>
      </c>
      <c r="G142" s="7">
        <v>14.1975397</v>
      </c>
      <c r="H142" s="7">
        <v>16.27785545</v>
      </c>
      <c r="I142" s="7">
        <v>6.858147242</v>
      </c>
      <c r="J142" s="7">
        <v>48.28242885</v>
      </c>
      <c r="K142" s="7">
        <v>18.59098467</v>
      </c>
      <c r="L142" s="7">
        <v>23.01364655</v>
      </c>
      <c r="M142" s="7">
        <v>10.11293992</v>
      </c>
      <c r="N142" s="7">
        <v>92.89512895</v>
      </c>
      <c r="O142" s="7">
        <v>4.964517757</v>
      </c>
      <c r="P142" s="7">
        <v>2.122298674</v>
      </c>
      <c r="Q142" s="7">
        <v>0.01805461538</v>
      </c>
      <c r="R142" s="8">
        <f t="shared" si="4"/>
        <v>17</v>
      </c>
      <c r="S142" s="8">
        <f t="shared" si="60"/>
        <v>14862926.76</v>
      </c>
      <c r="T142" s="8">
        <f t="shared" si="61"/>
        <v>4792104.932</v>
      </c>
      <c r="U142" s="8">
        <f t="shared" si="7"/>
        <v>10070821.83</v>
      </c>
      <c r="V142" s="8">
        <f t="shared" ref="V142:W142" si="295">T142/1000</f>
        <v>4792.104932</v>
      </c>
      <c r="W142" s="8">
        <f t="shared" si="295"/>
        <v>10070.82183</v>
      </c>
      <c r="X142" s="8">
        <f t="shared" si="9"/>
        <v>67.75799942</v>
      </c>
      <c r="Y142" s="8">
        <f t="shared" si="10"/>
        <v>33</v>
      </c>
      <c r="Z142" s="8">
        <f t="shared" si="11"/>
        <v>68</v>
      </c>
      <c r="AA142" s="8">
        <f t="shared" si="12"/>
        <v>15</v>
      </c>
      <c r="AB142" s="8">
        <f t="shared" ref="AB142:AC142" si="296">ROUNDUP(V142/1000,0)</f>
        <v>5</v>
      </c>
      <c r="AC142" s="8">
        <f t="shared" si="296"/>
        <v>11</v>
      </c>
      <c r="AD142" s="8">
        <f t="shared" si="188"/>
        <v>63</v>
      </c>
      <c r="AE142" s="8">
        <f t="shared" si="15"/>
        <v>1</v>
      </c>
    </row>
    <row r="143" ht="22.5" customHeight="1">
      <c r="A143" s="7" t="s">
        <v>203</v>
      </c>
      <c r="B143" s="7" t="s">
        <v>118</v>
      </c>
      <c r="C143" s="7">
        <f t="shared" si="3"/>
        <v>1</v>
      </c>
      <c r="D143" s="7">
        <v>15893.21875</v>
      </c>
      <c r="E143" s="7">
        <v>46.14099884</v>
      </c>
      <c r="F143" s="7">
        <v>56.47697339</v>
      </c>
      <c r="G143" s="7">
        <v>27.70419956</v>
      </c>
      <c r="H143" s="7">
        <v>13.41704303</v>
      </c>
      <c r="I143" s="7">
        <v>2.401784021</v>
      </c>
      <c r="J143" s="7">
        <v>37.07586282</v>
      </c>
      <c r="K143" s="7">
        <v>36.64324958</v>
      </c>
      <c r="L143" s="7">
        <v>21.82149546</v>
      </c>
      <c r="M143" s="7">
        <v>4.459392143</v>
      </c>
      <c r="N143" s="7">
        <v>79.12330574</v>
      </c>
      <c r="O143" s="7">
        <v>17.26991556</v>
      </c>
      <c r="P143" s="7">
        <v>3.606778703</v>
      </c>
      <c r="Q143" s="7">
        <v>0.0</v>
      </c>
      <c r="R143" s="8">
        <f t="shared" si="4"/>
        <v>17</v>
      </c>
      <c r="S143" s="8">
        <f t="shared" si="60"/>
        <v>15893218.75</v>
      </c>
      <c r="T143" s="8">
        <f t="shared" si="61"/>
        <v>7333289.879</v>
      </c>
      <c r="U143" s="8">
        <f t="shared" si="7"/>
        <v>8559928.871</v>
      </c>
      <c r="V143" s="8">
        <f t="shared" ref="V143:W143" si="297">T143/1000</f>
        <v>7333.289879</v>
      </c>
      <c r="W143" s="8">
        <f t="shared" si="297"/>
        <v>8559.928871</v>
      </c>
      <c r="X143" s="8">
        <f t="shared" si="9"/>
        <v>53.85900116</v>
      </c>
      <c r="Y143" s="8">
        <f t="shared" si="10"/>
        <v>47</v>
      </c>
      <c r="Z143" s="8">
        <f t="shared" si="11"/>
        <v>54</v>
      </c>
      <c r="AA143" s="8">
        <f t="shared" si="12"/>
        <v>16</v>
      </c>
      <c r="AB143" s="8">
        <f t="shared" ref="AB143:AC143" si="298">ROUNDUP(V143/1000,0)</f>
        <v>8</v>
      </c>
      <c r="AC143" s="8">
        <f t="shared" si="298"/>
        <v>9</v>
      </c>
      <c r="AD143" s="8">
        <f t="shared" si="188"/>
        <v>56</v>
      </c>
      <c r="AE143" s="8">
        <f t="shared" si="15"/>
        <v>1</v>
      </c>
    </row>
    <row r="144" ht="22.5" customHeight="1">
      <c r="A144" s="7" t="s">
        <v>204</v>
      </c>
      <c r="B144" s="7" t="s">
        <v>118</v>
      </c>
      <c r="C144" s="7">
        <f t="shared" si="3"/>
        <v>1</v>
      </c>
      <c r="D144" s="7">
        <v>16425.85938</v>
      </c>
      <c r="E144" s="7">
        <v>23.52000046</v>
      </c>
      <c r="F144" s="7">
        <v>46.18753479</v>
      </c>
      <c r="G144" s="7">
        <v>14.74028929</v>
      </c>
      <c r="H144" s="7">
        <v>31.56245714</v>
      </c>
      <c r="I144" s="7">
        <v>7.509718784</v>
      </c>
      <c r="J144" s="7">
        <v>37.57521525</v>
      </c>
      <c r="K144" s="7">
        <v>14.35396111</v>
      </c>
      <c r="L144" s="7">
        <v>38.52496761</v>
      </c>
      <c r="M144" s="7">
        <v>9.545856027</v>
      </c>
      <c r="N144" s="7">
        <v>74.19222309</v>
      </c>
      <c r="O144" s="7">
        <v>15.99651381</v>
      </c>
      <c r="P144" s="7">
        <v>8.922452721</v>
      </c>
      <c r="Q144" s="7">
        <v>0.8888103843</v>
      </c>
      <c r="R144" s="8">
        <f t="shared" si="4"/>
        <v>17</v>
      </c>
      <c r="S144" s="8">
        <f t="shared" si="60"/>
        <v>16425859.38</v>
      </c>
      <c r="T144" s="8">
        <f t="shared" si="61"/>
        <v>3863362.202</v>
      </c>
      <c r="U144" s="8">
        <f t="shared" si="7"/>
        <v>12562497.18</v>
      </c>
      <c r="V144" s="8">
        <f t="shared" ref="V144:W144" si="299">T144/1000</f>
        <v>3863.362202</v>
      </c>
      <c r="W144" s="8">
        <f t="shared" si="299"/>
        <v>12562.49718</v>
      </c>
      <c r="X144" s="8">
        <f t="shared" si="9"/>
        <v>76.47999954</v>
      </c>
      <c r="Y144" s="8">
        <f t="shared" si="10"/>
        <v>24</v>
      </c>
      <c r="Z144" s="8">
        <f t="shared" si="11"/>
        <v>77</v>
      </c>
      <c r="AA144" s="8">
        <f t="shared" si="12"/>
        <v>17</v>
      </c>
      <c r="AB144" s="8">
        <f t="shared" ref="AB144:AC144" si="300">ROUNDUP(V144/1000,0)</f>
        <v>4</v>
      </c>
      <c r="AC144" s="8">
        <f t="shared" si="300"/>
        <v>13</v>
      </c>
      <c r="AD144" s="8">
        <f t="shared" si="188"/>
        <v>46</v>
      </c>
      <c r="AE144" s="8">
        <f t="shared" si="15"/>
        <v>1</v>
      </c>
    </row>
    <row r="145" ht="22.5" customHeight="1">
      <c r="A145" s="7" t="s">
        <v>205</v>
      </c>
      <c r="B145" s="7" t="s">
        <v>67</v>
      </c>
      <c r="C145" s="7">
        <f t="shared" si="3"/>
        <v>2</v>
      </c>
      <c r="D145" s="7">
        <v>16718.9707</v>
      </c>
      <c r="E145" s="7">
        <v>24.23200035</v>
      </c>
      <c r="F145" s="7">
        <v>71.21988497</v>
      </c>
      <c r="G145" s="7">
        <v>13.90222204</v>
      </c>
      <c r="H145" s="7">
        <v>5.677218558</v>
      </c>
      <c r="I145" s="7">
        <v>9.200674434</v>
      </c>
      <c r="J145" s="7">
        <v>65.06715583</v>
      </c>
      <c r="K145" s="7">
        <v>15.51772278</v>
      </c>
      <c r="L145" s="7">
        <v>7.492899307</v>
      </c>
      <c r="M145" s="7">
        <v>11.92222209</v>
      </c>
      <c r="N145" s="7">
        <v>90.45807717</v>
      </c>
      <c r="O145" s="7">
        <v>8.85091472</v>
      </c>
      <c r="P145" s="7">
        <v>0.0</v>
      </c>
      <c r="Q145" s="7">
        <v>0.6910081144</v>
      </c>
      <c r="R145" s="8">
        <f t="shared" si="4"/>
        <v>17</v>
      </c>
      <c r="S145" s="8">
        <f t="shared" si="60"/>
        <v>16718970.7</v>
      </c>
      <c r="T145" s="8">
        <f t="shared" si="61"/>
        <v>4051341.039</v>
      </c>
      <c r="U145" s="8">
        <f t="shared" si="7"/>
        <v>12667629.66</v>
      </c>
      <c r="V145" s="8">
        <f t="shared" ref="V145:W145" si="301">T145/1000</f>
        <v>4051.341039</v>
      </c>
      <c r="W145" s="8">
        <f t="shared" si="301"/>
        <v>12667.62966</v>
      </c>
      <c r="X145" s="8">
        <f t="shared" si="9"/>
        <v>75.76799965</v>
      </c>
      <c r="Y145" s="8">
        <f t="shared" si="10"/>
        <v>25</v>
      </c>
      <c r="Z145" s="8">
        <f t="shared" si="11"/>
        <v>76</v>
      </c>
      <c r="AA145" s="8">
        <f t="shared" si="12"/>
        <v>17</v>
      </c>
      <c r="AB145" s="8">
        <f t="shared" ref="AB145:AC145" si="302">ROUNDUP(V145/1000,0)</f>
        <v>5</v>
      </c>
      <c r="AC145" s="8">
        <f t="shared" si="302"/>
        <v>13</v>
      </c>
      <c r="AD145" s="8">
        <f t="shared" si="188"/>
        <v>71</v>
      </c>
      <c r="AE145" s="8">
        <f t="shared" si="15"/>
        <v>1</v>
      </c>
    </row>
    <row r="146" ht="22.5" customHeight="1">
      <c r="A146" s="7" t="s">
        <v>206</v>
      </c>
      <c r="B146" s="7" t="s">
        <v>67</v>
      </c>
      <c r="C146" s="7">
        <f t="shared" si="3"/>
        <v>2</v>
      </c>
      <c r="D146" s="7">
        <v>16743.92969</v>
      </c>
      <c r="E146" s="7">
        <v>48.12200165</v>
      </c>
      <c r="F146" s="7">
        <v>84.90523779</v>
      </c>
      <c r="G146" s="7">
        <v>2.387217509</v>
      </c>
      <c r="H146" s="7">
        <v>12.60781566</v>
      </c>
      <c r="I146" s="7">
        <v>0.09972904042</v>
      </c>
      <c r="J146" s="7">
        <v>75.2429282</v>
      </c>
      <c r="K146" s="7">
        <v>4.052382433</v>
      </c>
      <c r="L146" s="7">
        <v>20.51245174</v>
      </c>
      <c r="M146" s="7">
        <v>0.1922376314</v>
      </c>
      <c r="N146" s="7">
        <v>95.32170094</v>
      </c>
      <c r="O146" s="7">
        <v>0.5920836567</v>
      </c>
      <c r="P146" s="7">
        <v>4.086215402</v>
      </c>
      <c r="Q146" s="7">
        <v>0.0</v>
      </c>
      <c r="R146" s="8">
        <f t="shared" si="4"/>
        <v>17</v>
      </c>
      <c r="S146" s="8">
        <f t="shared" si="60"/>
        <v>16743929.69</v>
      </c>
      <c r="T146" s="8">
        <f t="shared" si="61"/>
        <v>8057514.122</v>
      </c>
      <c r="U146" s="8">
        <f t="shared" si="7"/>
        <v>8686415.568</v>
      </c>
      <c r="V146" s="8">
        <f t="shared" ref="V146:W146" si="303">T146/1000</f>
        <v>8057.514122</v>
      </c>
      <c r="W146" s="8">
        <f t="shared" si="303"/>
        <v>8686.415568</v>
      </c>
      <c r="X146" s="8">
        <f t="shared" si="9"/>
        <v>51.87799835</v>
      </c>
      <c r="Y146" s="8">
        <f t="shared" si="10"/>
        <v>49</v>
      </c>
      <c r="Z146" s="8">
        <f t="shared" si="11"/>
        <v>52</v>
      </c>
      <c r="AA146" s="8">
        <f t="shared" si="12"/>
        <v>17</v>
      </c>
      <c r="AB146" s="8">
        <f t="shared" ref="AB146:AC146" si="304">ROUNDUP(V146/1000,0)</f>
        <v>9</v>
      </c>
      <c r="AC146" s="8">
        <f t="shared" si="304"/>
        <v>9</v>
      </c>
      <c r="AD146" s="8">
        <f t="shared" si="188"/>
        <v>85</v>
      </c>
      <c r="AE146" s="8">
        <f t="shared" si="15"/>
        <v>1</v>
      </c>
    </row>
    <row r="147" ht="22.5" customHeight="1">
      <c r="A147" s="7" t="s">
        <v>207</v>
      </c>
      <c r="B147" s="7" t="s">
        <v>44</v>
      </c>
      <c r="C147" s="7">
        <f t="shared" si="3"/>
        <v>4</v>
      </c>
      <c r="D147" s="7">
        <v>17134.87305</v>
      </c>
      <c r="E147" s="7">
        <v>92.23600006</v>
      </c>
      <c r="F147" s="7">
        <v>99.99999929</v>
      </c>
      <c r="G147" s="7">
        <v>0.0</v>
      </c>
      <c r="H147" s="7">
        <v>7.12408621E-7</v>
      </c>
      <c r="I147" s="7">
        <v>0.0</v>
      </c>
      <c r="J147" s="7">
        <v>100.0</v>
      </c>
      <c r="K147" s="7">
        <v>0.0</v>
      </c>
      <c r="L147" s="7">
        <v>0.0</v>
      </c>
      <c r="M147" s="7">
        <v>0.0</v>
      </c>
      <c r="N147" s="7">
        <v>100.0</v>
      </c>
      <c r="O147" s="7">
        <v>0.0</v>
      </c>
      <c r="P147" s="7">
        <v>0.0</v>
      </c>
      <c r="Q147" s="7">
        <v>0.0</v>
      </c>
      <c r="R147" s="8">
        <f t="shared" si="4"/>
        <v>17</v>
      </c>
      <c r="S147" s="8">
        <f t="shared" si="60"/>
        <v>17134873.05</v>
      </c>
      <c r="T147" s="8">
        <f t="shared" si="61"/>
        <v>15804521.52</v>
      </c>
      <c r="U147" s="8">
        <f t="shared" si="7"/>
        <v>1330351.533</v>
      </c>
      <c r="V147" s="8">
        <f t="shared" ref="V147:W147" si="305">T147/1000</f>
        <v>15804.52152</v>
      </c>
      <c r="W147" s="8">
        <f t="shared" si="305"/>
        <v>1330.351533</v>
      </c>
      <c r="X147" s="8">
        <f t="shared" si="9"/>
        <v>7.76399994</v>
      </c>
      <c r="Y147" s="8">
        <f t="shared" si="10"/>
        <v>93</v>
      </c>
      <c r="Z147" s="8">
        <f t="shared" si="11"/>
        <v>8</v>
      </c>
      <c r="AA147" s="8">
        <f t="shared" si="12"/>
        <v>18</v>
      </c>
      <c r="AB147" s="8">
        <f t="shared" ref="AB147:AC147" si="306">ROUNDUP(V147/1000,0)</f>
        <v>16</v>
      </c>
      <c r="AC147" s="8">
        <f t="shared" si="306"/>
        <v>2</v>
      </c>
      <c r="AD147" s="8">
        <f t="shared" si="188"/>
        <v>100</v>
      </c>
      <c r="AE147" s="8">
        <f t="shared" si="15"/>
        <v>1</v>
      </c>
    </row>
    <row r="148" ht="22.5" customHeight="1">
      <c r="A148" s="7" t="s">
        <v>208</v>
      </c>
      <c r="B148" s="7" t="s">
        <v>118</v>
      </c>
      <c r="C148" s="7">
        <f t="shared" si="3"/>
        <v>1</v>
      </c>
      <c r="D148" s="7">
        <v>17500.65625</v>
      </c>
      <c r="E148" s="7">
        <v>55.47500229</v>
      </c>
      <c r="F148" s="7">
        <v>93.92585718</v>
      </c>
      <c r="G148" s="7">
        <v>5.873730768</v>
      </c>
      <c r="H148" s="7">
        <v>0.2004120542</v>
      </c>
      <c r="I148" s="7">
        <v>0.0</v>
      </c>
      <c r="J148" s="7">
        <v>92.082745</v>
      </c>
      <c r="K148" s="7">
        <v>7.917255</v>
      </c>
      <c r="L148" s="7">
        <v>0.0</v>
      </c>
      <c r="M148" s="7">
        <v>0.0</v>
      </c>
      <c r="N148" s="7">
        <v>95.40516436</v>
      </c>
      <c r="O148" s="7">
        <v>4.233570117</v>
      </c>
      <c r="P148" s="7">
        <v>0.361265525</v>
      </c>
      <c r="Q148" s="7">
        <v>0.0</v>
      </c>
      <c r="R148" s="8">
        <f t="shared" si="4"/>
        <v>17</v>
      </c>
      <c r="S148" s="8">
        <f t="shared" si="60"/>
        <v>17500656.25</v>
      </c>
      <c r="T148" s="8">
        <f t="shared" si="61"/>
        <v>9708489.455</v>
      </c>
      <c r="U148" s="8">
        <f t="shared" si="7"/>
        <v>7792166.795</v>
      </c>
      <c r="V148" s="8">
        <f t="shared" ref="V148:W148" si="307">T148/1000</f>
        <v>9708.489455</v>
      </c>
      <c r="W148" s="8">
        <f t="shared" si="307"/>
        <v>7792.166795</v>
      </c>
      <c r="X148" s="8">
        <f t="shared" si="9"/>
        <v>44.52499771</v>
      </c>
      <c r="Y148" s="8">
        <f t="shared" si="10"/>
        <v>56</v>
      </c>
      <c r="Z148" s="8">
        <f t="shared" si="11"/>
        <v>45</v>
      </c>
      <c r="AA148" s="8">
        <f t="shared" si="12"/>
        <v>18</v>
      </c>
      <c r="AB148" s="8">
        <f t="shared" ref="AB148:AC148" si="308">ROUNDUP(V148/1000,0)</f>
        <v>10</v>
      </c>
      <c r="AC148" s="8">
        <f t="shared" si="308"/>
        <v>8</v>
      </c>
      <c r="AD148" s="8">
        <f t="shared" si="188"/>
        <v>94</v>
      </c>
      <c r="AE148" s="8">
        <f t="shared" si="15"/>
        <v>1</v>
      </c>
    </row>
    <row r="149" ht="22.5" customHeight="1">
      <c r="A149" s="7" t="s">
        <v>209</v>
      </c>
      <c r="B149" s="7" t="s">
        <v>47</v>
      </c>
      <c r="C149" s="7">
        <f t="shared" si="3"/>
        <v>3</v>
      </c>
      <c r="D149" s="7">
        <v>17643.06055</v>
      </c>
      <c r="E149" s="7">
        <v>64.16600037</v>
      </c>
      <c r="F149" s="7">
        <v>95.35976356</v>
      </c>
      <c r="G149" s="7">
        <v>0.003451463449</v>
      </c>
      <c r="H149" s="7">
        <v>2.604485389</v>
      </c>
      <c r="I149" s="7">
        <v>2.032299589</v>
      </c>
      <c r="J149" s="7">
        <v>87.05074495</v>
      </c>
      <c r="K149" s="7">
        <v>0.009631811022</v>
      </c>
      <c r="L149" s="7">
        <v>7.26819549</v>
      </c>
      <c r="M149" s="7">
        <v>5.671427747</v>
      </c>
      <c r="N149" s="7">
        <v>100.0</v>
      </c>
      <c r="O149" s="7">
        <v>0.0</v>
      </c>
      <c r="P149" s="7">
        <v>0.0</v>
      </c>
      <c r="Q149" s="7">
        <v>0.0</v>
      </c>
      <c r="R149" s="8">
        <f t="shared" si="4"/>
        <v>17</v>
      </c>
      <c r="S149" s="8">
        <f t="shared" si="60"/>
        <v>17643060.55</v>
      </c>
      <c r="T149" s="8">
        <f t="shared" si="61"/>
        <v>11320846.3</v>
      </c>
      <c r="U149" s="8">
        <f t="shared" si="7"/>
        <v>6322214.252</v>
      </c>
      <c r="V149" s="8">
        <f t="shared" ref="V149:W149" si="309">T149/1000</f>
        <v>11320.8463</v>
      </c>
      <c r="W149" s="8">
        <f t="shared" si="309"/>
        <v>6322.214252</v>
      </c>
      <c r="X149" s="8">
        <f t="shared" si="9"/>
        <v>35.83399963</v>
      </c>
      <c r="Y149" s="8">
        <f t="shared" si="10"/>
        <v>65</v>
      </c>
      <c r="Z149" s="8">
        <f t="shared" si="11"/>
        <v>36</v>
      </c>
      <c r="AA149" s="8">
        <f t="shared" si="12"/>
        <v>18</v>
      </c>
      <c r="AB149" s="8">
        <f t="shared" ref="AB149:AC149" si="310">ROUNDUP(V149/1000,0)</f>
        <v>12</v>
      </c>
      <c r="AC149" s="8">
        <f t="shared" si="310"/>
        <v>7</v>
      </c>
      <c r="AD149" s="8">
        <f t="shared" si="188"/>
        <v>95</v>
      </c>
      <c r="AE149" s="8">
        <f t="shared" si="15"/>
        <v>1</v>
      </c>
    </row>
    <row r="150" ht="22.5" customHeight="1">
      <c r="A150" s="7" t="s">
        <v>210</v>
      </c>
      <c r="B150" s="7" t="s">
        <v>47</v>
      </c>
      <c r="C150" s="7">
        <f t="shared" si="3"/>
        <v>3</v>
      </c>
      <c r="D150" s="7">
        <v>17915.56641</v>
      </c>
      <c r="E150" s="7">
        <v>51.83599854</v>
      </c>
      <c r="F150" s="7">
        <v>94.00642827</v>
      </c>
      <c r="G150" s="7">
        <v>1.034150511</v>
      </c>
      <c r="H150" s="7">
        <v>3.215911815</v>
      </c>
      <c r="I150" s="7">
        <v>1.743509404</v>
      </c>
      <c r="J150" s="7">
        <v>90.1193298</v>
      </c>
      <c r="K150" s="7">
        <v>1.849169999</v>
      </c>
      <c r="L150" s="7">
        <v>4.583438691</v>
      </c>
      <c r="M150" s="7">
        <v>3.448061508</v>
      </c>
      <c r="N150" s="7">
        <v>97.61816944</v>
      </c>
      <c r="O150" s="7">
        <v>0.2768660057</v>
      </c>
      <c r="P150" s="7">
        <v>1.94525887</v>
      </c>
      <c r="Q150" s="7">
        <v>0.1597056849</v>
      </c>
      <c r="R150" s="8">
        <f t="shared" si="4"/>
        <v>17</v>
      </c>
      <c r="S150" s="8">
        <f t="shared" si="60"/>
        <v>17915566.41</v>
      </c>
      <c r="T150" s="8">
        <f t="shared" si="61"/>
        <v>9286712.743</v>
      </c>
      <c r="U150" s="8">
        <f t="shared" si="7"/>
        <v>8628853.667</v>
      </c>
      <c r="V150" s="8">
        <f t="shared" ref="V150:W150" si="311">T150/1000</f>
        <v>9286.712743</v>
      </c>
      <c r="W150" s="8">
        <f t="shared" si="311"/>
        <v>8628.853667</v>
      </c>
      <c r="X150" s="8">
        <f t="shared" si="9"/>
        <v>48.16400146</v>
      </c>
      <c r="Y150" s="8">
        <f t="shared" si="10"/>
        <v>52</v>
      </c>
      <c r="Z150" s="8">
        <f t="shared" si="11"/>
        <v>49</v>
      </c>
      <c r="AA150" s="8">
        <f t="shared" si="12"/>
        <v>18</v>
      </c>
      <c r="AB150" s="8">
        <f t="shared" ref="AB150:AC150" si="312">ROUNDUP(V150/1000,0)</f>
        <v>10</v>
      </c>
      <c r="AC150" s="8">
        <f t="shared" si="312"/>
        <v>9</v>
      </c>
      <c r="AD150" s="8">
        <f t="shared" si="188"/>
        <v>94</v>
      </c>
      <c r="AE150" s="8">
        <f t="shared" si="15"/>
        <v>1</v>
      </c>
    </row>
    <row r="151" ht="22.5" customHeight="1">
      <c r="A151" s="7" t="s">
        <v>211</v>
      </c>
      <c r="B151" s="7" t="s">
        <v>118</v>
      </c>
      <c r="C151" s="7">
        <f t="shared" si="3"/>
        <v>1</v>
      </c>
      <c r="D151" s="7">
        <v>18383.95508</v>
      </c>
      <c r="E151" s="7">
        <v>44.6289978</v>
      </c>
      <c r="F151" s="7">
        <v>65.41238357</v>
      </c>
      <c r="G151" s="7">
        <v>6.15393902</v>
      </c>
      <c r="H151" s="7">
        <v>21.57684071</v>
      </c>
      <c r="I151" s="7">
        <v>6.856836706</v>
      </c>
      <c r="J151" s="7">
        <v>48.22728833</v>
      </c>
      <c r="K151" s="7">
        <v>8.331703613</v>
      </c>
      <c r="L151" s="7">
        <v>31.60865444</v>
      </c>
      <c r="M151" s="7">
        <v>11.83235362</v>
      </c>
      <c r="N151" s="7">
        <v>86.73385466</v>
      </c>
      <c r="O151" s="7">
        <v>3.451996194</v>
      </c>
      <c r="P151" s="7">
        <v>9.130414105</v>
      </c>
      <c r="Q151" s="7">
        <v>0.6837350463</v>
      </c>
      <c r="R151" s="8">
        <f t="shared" si="4"/>
        <v>17</v>
      </c>
      <c r="S151" s="8">
        <f t="shared" si="60"/>
        <v>18383955.08</v>
      </c>
      <c r="T151" s="8">
        <f t="shared" si="61"/>
        <v>8204574.908</v>
      </c>
      <c r="U151" s="8">
        <f t="shared" si="7"/>
        <v>10179380.17</v>
      </c>
      <c r="V151" s="8">
        <f t="shared" ref="V151:W151" si="313">T151/1000</f>
        <v>8204.574908</v>
      </c>
      <c r="W151" s="8">
        <f t="shared" si="313"/>
        <v>10179.38017</v>
      </c>
      <c r="X151" s="8">
        <f t="shared" si="9"/>
        <v>55.3710022</v>
      </c>
      <c r="Y151" s="8">
        <f t="shared" si="10"/>
        <v>45</v>
      </c>
      <c r="Z151" s="8">
        <f t="shared" si="11"/>
        <v>56</v>
      </c>
      <c r="AA151" s="8">
        <f t="shared" si="12"/>
        <v>19</v>
      </c>
      <c r="AB151" s="8">
        <f t="shared" ref="AB151:AC151" si="314">ROUNDUP(V151/1000,0)</f>
        <v>9</v>
      </c>
      <c r="AC151" s="8">
        <f t="shared" si="314"/>
        <v>11</v>
      </c>
      <c r="AD151" s="8">
        <f t="shared" si="188"/>
        <v>65</v>
      </c>
      <c r="AE151" s="8">
        <f t="shared" si="15"/>
        <v>1</v>
      </c>
    </row>
    <row r="152" ht="22.5" customHeight="1">
      <c r="A152" s="7" t="s">
        <v>212</v>
      </c>
      <c r="B152" s="7" t="s">
        <v>47</v>
      </c>
      <c r="C152" s="7">
        <f t="shared" si="3"/>
        <v>3</v>
      </c>
      <c r="D152" s="7">
        <v>18776.70703</v>
      </c>
      <c r="E152" s="7">
        <v>57.67100143</v>
      </c>
      <c r="F152" s="7">
        <v>95.43497032</v>
      </c>
      <c r="G152" s="7">
        <v>1.941425039</v>
      </c>
      <c r="H152" s="7">
        <v>2.545956934</v>
      </c>
      <c r="I152" s="7">
        <v>0.07764770471</v>
      </c>
      <c r="J152" s="7">
        <v>91.93925234</v>
      </c>
      <c r="K152" s="7">
        <v>1.862616064</v>
      </c>
      <c r="L152" s="7">
        <v>6.014693049</v>
      </c>
      <c r="M152" s="7">
        <v>0.1834385438</v>
      </c>
      <c r="N152" s="7">
        <v>98.00073133</v>
      </c>
      <c r="O152" s="7">
        <v>1.999268673</v>
      </c>
      <c r="P152" s="7">
        <v>0.0</v>
      </c>
      <c r="Q152" s="7">
        <v>0.0</v>
      </c>
      <c r="R152" s="8">
        <f t="shared" si="4"/>
        <v>17</v>
      </c>
      <c r="S152" s="8">
        <f t="shared" si="60"/>
        <v>18776707.03</v>
      </c>
      <c r="T152" s="8">
        <f t="shared" si="61"/>
        <v>10828714.98</v>
      </c>
      <c r="U152" s="8">
        <f t="shared" si="7"/>
        <v>7947992.05</v>
      </c>
      <c r="V152" s="8">
        <f t="shared" ref="V152:W152" si="315">T152/1000</f>
        <v>10828.71498</v>
      </c>
      <c r="W152" s="8">
        <f t="shared" si="315"/>
        <v>7947.99205</v>
      </c>
      <c r="X152" s="8">
        <f t="shared" si="9"/>
        <v>42.32899857</v>
      </c>
      <c r="Y152" s="8">
        <f t="shared" si="10"/>
        <v>58</v>
      </c>
      <c r="Z152" s="8">
        <f t="shared" si="11"/>
        <v>43</v>
      </c>
      <c r="AA152" s="8">
        <f t="shared" si="12"/>
        <v>19</v>
      </c>
      <c r="AB152" s="8">
        <f t="shared" ref="AB152:AC152" si="316">ROUNDUP(V152/1000,0)</f>
        <v>11</v>
      </c>
      <c r="AC152" s="8">
        <f t="shared" si="316"/>
        <v>8</v>
      </c>
      <c r="AD152" s="8">
        <f t="shared" si="188"/>
        <v>95</v>
      </c>
      <c r="AE152" s="8">
        <f t="shared" si="15"/>
        <v>1</v>
      </c>
    </row>
    <row r="153" ht="22.5" customHeight="1">
      <c r="A153" s="7" t="s">
        <v>213</v>
      </c>
      <c r="B153" s="7" t="s">
        <v>44</v>
      </c>
      <c r="C153" s="7">
        <f t="shared" si="3"/>
        <v>4</v>
      </c>
      <c r="D153" s="7">
        <v>19116.20898</v>
      </c>
      <c r="E153" s="7">
        <v>87.72699738</v>
      </c>
      <c r="F153" s="7">
        <v>99.99999872</v>
      </c>
      <c r="G153" s="7">
        <v>0.0</v>
      </c>
      <c r="H153" s="7">
        <v>1.277139333E-6</v>
      </c>
      <c r="I153" s="7">
        <v>0.0</v>
      </c>
      <c r="J153" s="7">
        <v>100.0</v>
      </c>
      <c r="K153" s="7">
        <v>0.0</v>
      </c>
      <c r="L153" s="7">
        <v>0.0</v>
      </c>
      <c r="M153" s="7">
        <v>0.0</v>
      </c>
      <c r="N153" s="7">
        <v>100.0</v>
      </c>
      <c r="O153" s="7">
        <v>0.0</v>
      </c>
      <c r="P153" s="7">
        <v>0.0</v>
      </c>
      <c r="Q153" s="7">
        <v>0.0</v>
      </c>
      <c r="R153" s="8">
        <f t="shared" si="4"/>
        <v>17</v>
      </c>
      <c r="S153" s="8">
        <f t="shared" si="60"/>
        <v>19116208.98</v>
      </c>
      <c r="T153" s="8">
        <f t="shared" si="61"/>
        <v>16770076.15</v>
      </c>
      <c r="U153" s="8">
        <f t="shared" si="7"/>
        <v>2346132.829</v>
      </c>
      <c r="V153" s="8">
        <f t="shared" ref="V153:W153" si="317">T153/1000</f>
        <v>16770.07615</v>
      </c>
      <c r="W153" s="8">
        <f t="shared" si="317"/>
        <v>2346.132829</v>
      </c>
      <c r="X153" s="8">
        <f t="shared" si="9"/>
        <v>12.27300262</v>
      </c>
      <c r="Y153" s="8">
        <f t="shared" si="10"/>
        <v>88</v>
      </c>
      <c r="Z153" s="8">
        <f t="shared" si="11"/>
        <v>13</v>
      </c>
      <c r="AA153" s="8">
        <f t="shared" si="12"/>
        <v>20</v>
      </c>
      <c r="AB153" s="8">
        <f t="shared" ref="AB153:AC153" si="318">ROUNDUP(V153/1000,0)</f>
        <v>17</v>
      </c>
      <c r="AC153" s="8">
        <f t="shared" si="318"/>
        <v>3</v>
      </c>
      <c r="AD153" s="8">
        <f t="shared" si="188"/>
        <v>100</v>
      </c>
      <c r="AE153" s="8">
        <f t="shared" si="15"/>
        <v>1</v>
      </c>
    </row>
    <row r="154" ht="22.5" customHeight="1">
      <c r="A154" s="7" t="s">
        <v>214</v>
      </c>
      <c r="B154" s="7" t="s">
        <v>118</v>
      </c>
      <c r="C154" s="7">
        <f t="shared" si="3"/>
        <v>1</v>
      </c>
      <c r="D154" s="7">
        <v>19129.95508</v>
      </c>
      <c r="E154" s="7">
        <v>17.42700005</v>
      </c>
      <c r="F154" s="7">
        <v>70.04772851</v>
      </c>
      <c r="G154" s="7">
        <v>21.95081497</v>
      </c>
      <c r="H154" s="7">
        <v>5.776304407</v>
      </c>
      <c r="I154" s="7">
        <v>2.22515211</v>
      </c>
      <c r="J154" s="7">
        <v>66.58504376</v>
      </c>
      <c r="K154" s="7">
        <v>24.41415803</v>
      </c>
      <c r="L154" s="7">
        <v>6.383874146</v>
      </c>
      <c r="M154" s="7">
        <v>2.616924066</v>
      </c>
      <c r="N154" s="7">
        <v>86.45469821</v>
      </c>
      <c r="O154" s="7">
        <v>10.27894825</v>
      </c>
      <c r="P154" s="7">
        <v>2.897503996</v>
      </c>
      <c r="Q154" s="7">
        <v>0.3688495446</v>
      </c>
      <c r="R154" s="8">
        <f t="shared" si="4"/>
        <v>17</v>
      </c>
      <c r="S154" s="8">
        <f t="shared" si="60"/>
        <v>19129955.08</v>
      </c>
      <c r="T154" s="8">
        <f t="shared" si="61"/>
        <v>3333777.281</v>
      </c>
      <c r="U154" s="8">
        <f t="shared" si="7"/>
        <v>15796177.8</v>
      </c>
      <c r="V154" s="8">
        <f t="shared" ref="V154:W154" si="319">T154/1000</f>
        <v>3333.777281</v>
      </c>
      <c r="W154" s="8">
        <f t="shared" si="319"/>
        <v>15796.1778</v>
      </c>
      <c r="X154" s="8">
        <f t="shared" si="9"/>
        <v>82.57299995</v>
      </c>
      <c r="Y154" s="8">
        <f t="shared" si="10"/>
        <v>18</v>
      </c>
      <c r="Z154" s="8">
        <f t="shared" si="11"/>
        <v>83</v>
      </c>
      <c r="AA154" s="8">
        <f t="shared" si="12"/>
        <v>20</v>
      </c>
      <c r="AB154" s="8">
        <f t="shared" ref="AB154:AC154" si="320">ROUNDUP(V154/1000,0)</f>
        <v>4</v>
      </c>
      <c r="AC154" s="8">
        <f t="shared" si="320"/>
        <v>16</v>
      </c>
      <c r="AD154" s="8">
        <f t="shared" si="188"/>
        <v>70</v>
      </c>
      <c r="AE154" s="8">
        <f t="shared" si="15"/>
        <v>1</v>
      </c>
    </row>
    <row r="155" ht="22.5" customHeight="1">
      <c r="A155" s="7" t="s">
        <v>215</v>
      </c>
      <c r="B155" s="7" t="s">
        <v>44</v>
      </c>
      <c r="C155" s="7">
        <f t="shared" si="3"/>
        <v>4</v>
      </c>
      <c r="D155" s="7">
        <v>19237.68164</v>
      </c>
      <c r="E155" s="7">
        <v>54.19400024</v>
      </c>
      <c r="F155" s="7">
        <v>100.0</v>
      </c>
      <c r="G155" s="7">
        <v>0.0</v>
      </c>
      <c r="H155" s="7">
        <v>0.0</v>
      </c>
      <c r="I155" s="7">
        <v>0.0</v>
      </c>
      <c r="J155" s="7">
        <v>100.0</v>
      </c>
      <c r="K155" s="7">
        <v>0.0</v>
      </c>
      <c r="L155" s="7">
        <v>0.0</v>
      </c>
      <c r="M155" s="7">
        <v>0.0</v>
      </c>
      <c r="N155" s="7">
        <v>100.0</v>
      </c>
      <c r="O155" s="7">
        <v>0.0</v>
      </c>
      <c r="P155" s="7">
        <v>0.0</v>
      </c>
      <c r="Q155" s="7">
        <v>0.0</v>
      </c>
      <c r="R155" s="8">
        <f t="shared" si="4"/>
        <v>17</v>
      </c>
      <c r="S155" s="8">
        <f t="shared" si="60"/>
        <v>19237681.64</v>
      </c>
      <c r="T155" s="8">
        <f t="shared" si="61"/>
        <v>10425669.23</v>
      </c>
      <c r="U155" s="8">
        <f t="shared" si="7"/>
        <v>8812012.406</v>
      </c>
      <c r="V155" s="8">
        <f t="shared" ref="V155:W155" si="321">T155/1000</f>
        <v>10425.66923</v>
      </c>
      <c r="W155" s="8">
        <f t="shared" si="321"/>
        <v>8812.012406</v>
      </c>
      <c r="X155" s="8">
        <f t="shared" si="9"/>
        <v>45.80599976</v>
      </c>
      <c r="Y155" s="8">
        <f t="shared" si="10"/>
        <v>55</v>
      </c>
      <c r="Z155" s="8">
        <f t="shared" si="11"/>
        <v>46</v>
      </c>
      <c r="AA155" s="8">
        <f t="shared" si="12"/>
        <v>20</v>
      </c>
      <c r="AB155" s="8">
        <f t="shared" ref="AB155:AC155" si="322">ROUNDUP(V155/1000,0)</f>
        <v>11</v>
      </c>
      <c r="AC155" s="8">
        <f t="shared" si="322"/>
        <v>9</v>
      </c>
      <c r="AD155" s="8">
        <f t="shared" si="188"/>
        <v>100</v>
      </c>
      <c r="AE155" s="8">
        <f t="shared" si="15"/>
        <v>1</v>
      </c>
    </row>
    <row r="156" ht="22.5" customHeight="1">
      <c r="A156" s="7" t="s">
        <v>216</v>
      </c>
      <c r="B156" s="7" t="s">
        <v>118</v>
      </c>
      <c r="C156" s="7">
        <f t="shared" si="3"/>
        <v>1</v>
      </c>
      <c r="D156" s="7">
        <v>20250.83398</v>
      </c>
      <c r="E156" s="7">
        <v>43.90900421</v>
      </c>
      <c r="F156" s="7">
        <v>82.54729103</v>
      </c>
      <c r="G156" s="7">
        <v>3.854734527</v>
      </c>
      <c r="H156" s="7">
        <v>12.24697135</v>
      </c>
      <c r="I156" s="7">
        <v>1.35100309</v>
      </c>
      <c r="J156" s="7">
        <v>72.08089521</v>
      </c>
      <c r="K156" s="7">
        <v>3.78241223</v>
      </c>
      <c r="L156" s="7">
        <v>21.72810084</v>
      </c>
      <c r="M156" s="7">
        <v>2.408591717</v>
      </c>
      <c r="N156" s="7">
        <v>95.91745475</v>
      </c>
      <c r="O156" s="7">
        <v>3.947121723</v>
      </c>
      <c r="P156" s="7">
        <v>0.1354235314</v>
      </c>
      <c r="Q156" s="7">
        <v>0.0</v>
      </c>
      <c r="R156" s="8">
        <f t="shared" si="4"/>
        <v>17</v>
      </c>
      <c r="S156" s="8">
        <f t="shared" si="60"/>
        <v>20250833.98</v>
      </c>
      <c r="T156" s="8">
        <f t="shared" si="61"/>
        <v>8891939.545</v>
      </c>
      <c r="U156" s="8">
        <f t="shared" si="7"/>
        <v>11358894.44</v>
      </c>
      <c r="V156" s="8">
        <f t="shared" ref="V156:W156" si="323">T156/1000</f>
        <v>8891.939545</v>
      </c>
      <c r="W156" s="8">
        <f t="shared" si="323"/>
        <v>11358.89444</v>
      </c>
      <c r="X156" s="8">
        <f t="shared" si="9"/>
        <v>56.09099579</v>
      </c>
      <c r="Y156" s="8">
        <f t="shared" si="10"/>
        <v>44</v>
      </c>
      <c r="Z156" s="8">
        <f t="shared" si="11"/>
        <v>57</v>
      </c>
      <c r="AA156" s="8">
        <f t="shared" si="12"/>
        <v>21</v>
      </c>
      <c r="AB156" s="8">
        <f t="shared" ref="AB156:AC156" si="324">ROUNDUP(V156/1000,0)</f>
        <v>9</v>
      </c>
      <c r="AC156" s="8">
        <f t="shared" si="324"/>
        <v>12</v>
      </c>
      <c r="AD156" s="8">
        <f t="shared" si="188"/>
        <v>83</v>
      </c>
      <c r="AE156" s="8">
        <f t="shared" si="15"/>
        <v>1</v>
      </c>
    </row>
    <row r="157" ht="22.5" customHeight="1">
      <c r="A157" s="7" t="s">
        <v>217</v>
      </c>
      <c r="B157" s="7" t="s">
        <v>118</v>
      </c>
      <c r="C157" s="7">
        <f t="shared" si="3"/>
        <v>1</v>
      </c>
      <c r="D157" s="7">
        <v>20903.27734</v>
      </c>
      <c r="E157" s="7">
        <v>30.60700035</v>
      </c>
      <c r="F157" s="7">
        <v>47.21485446</v>
      </c>
      <c r="G157" s="7">
        <v>31.2730034</v>
      </c>
      <c r="H157" s="7">
        <v>21.15863263</v>
      </c>
      <c r="I157" s="7">
        <v>0.3535095024</v>
      </c>
      <c r="J157" s="7">
        <v>32.7182589</v>
      </c>
      <c r="K157" s="7">
        <v>38.62690254</v>
      </c>
      <c r="L157" s="7">
        <v>28.3404457</v>
      </c>
      <c r="M157" s="7">
        <v>0.3143928626</v>
      </c>
      <c r="N157" s="7">
        <v>80.08191854</v>
      </c>
      <c r="O157" s="7">
        <v>14.60004919</v>
      </c>
      <c r="P157" s="7">
        <v>4.875836487</v>
      </c>
      <c r="Q157" s="7">
        <v>0.4421957805</v>
      </c>
      <c r="R157" s="8">
        <f t="shared" si="4"/>
        <v>17</v>
      </c>
      <c r="S157" s="8">
        <f t="shared" si="60"/>
        <v>20903277.34</v>
      </c>
      <c r="T157" s="8">
        <f t="shared" si="61"/>
        <v>6397866.169</v>
      </c>
      <c r="U157" s="8">
        <f t="shared" si="7"/>
        <v>14505411.17</v>
      </c>
      <c r="V157" s="8">
        <f t="shared" ref="V157:W157" si="325">T157/1000</f>
        <v>6397.866169</v>
      </c>
      <c r="W157" s="8">
        <f t="shared" si="325"/>
        <v>14505.41117</v>
      </c>
      <c r="X157" s="8">
        <f t="shared" si="9"/>
        <v>69.39299965</v>
      </c>
      <c r="Y157" s="8">
        <f t="shared" si="10"/>
        <v>31</v>
      </c>
      <c r="Z157" s="8">
        <f t="shared" si="11"/>
        <v>70</v>
      </c>
      <c r="AA157" s="8">
        <f t="shared" si="12"/>
        <v>21</v>
      </c>
      <c r="AB157" s="8">
        <f t="shared" ref="AB157:AC157" si="326">ROUNDUP(V157/1000,0)</f>
        <v>7</v>
      </c>
      <c r="AC157" s="8">
        <f t="shared" si="326"/>
        <v>15</v>
      </c>
      <c r="AD157" s="8">
        <f t="shared" si="188"/>
        <v>47</v>
      </c>
      <c r="AE157" s="8">
        <f t="shared" si="15"/>
        <v>1</v>
      </c>
    </row>
    <row r="158" ht="22.5" customHeight="1">
      <c r="A158" s="7" t="s">
        <v>218</v>
      </c>
      <c r="B158" s="7" t="s">
        <v>67</v>
      </c>
      <c r="C158" s="7">
        <f t="shared" si="3"/>
        <v>2</v>
      </c>
      <c r="D158" s="7">
        <v>21413.25</v>
      </c>
      <c r="E158" s="7">
        <v>18.71299934</v>
      </c>
      <c r="F158" s="7">
        <v>92.22757937</v>
      </c>
      <c r="G158" s="7">
        <v>0.5954581495</v>
      </c>
      <c r="H158" s="7">
        <v>5.348927064</v>
      </c>
      <c r="I158" s="7">
        <v>1.82803542</v>
      </c>
      <c r="J158" s="7">
        <v>90.5374357</v>
      </c>
      <c r="K158" s="7">
        <v>0.7032099038</v>
      </c>
      <c r="L158" s="7">
        <v>6.510488612</v>
      </c>
      <c r="M158" s="7">
        <v>2.248865782</v>
      </c>
      <c r="N158" s="7">
        <v>99.56938019</v>
      </c>
      <c r="O158" s="7">
        <v>0.1273977901</v>
      </c>
      <c r="P158" s="7">
        <v>0.3032220202</v>
      </c>
      <c r="Q158" s="7">
        <v>0.0</v>
      </c>
      <c r="R158" s="8">
        <f t="shared" si="4"/>
        <v>17</v>
      </c>
      <c r="S158" s="8">
        <f t="shared" si="60"/>
        <v>21413250</v>
      </c>
      <c r="T158" s="8">
        <f t="shared" si="61"/>
        <v>4007061.331</v>
      </c>
      <c r="U158" s="8">
        <f t="shared" si="7"/>
        <v>17406188.67</v>
      </c>
      <c r="V158" s="8">
        <f t="shared" ref="V158:W158" si="327">T158/1000</f>
        <v>4007.061331</v>
      </c>
      <c r="W158" s="8">
        <f t="shared" si="327"/>
        <v>17406.18867</v>
      </c>
      <c r="X158" s="8">
        <f t="shared" si="9"/>
        <v>81.28700066</v>
      </c>
      <c r="Y158" s="8">
        <f t="shared" si="10"/>
        <v>19</v>
      </c>
      <c r="Z158" s="8">
        <f t="shared" si="11"/>
        <v>82</v>
      </c>
      <c r="AA158" s="8">
        <f t="shared" si="12"/>
        <v>22</v>
      </c>
      <c r="AB158" s="8">
        <f t="shared" ref="AB158:AC158" si="328">ROUNDUP(V158/1000,0)</f>
        <v>5</v>
      </c>
      <c r="AC158" s="8">
        <f t="shared" si="328"/>
        <v>18</v>
      </c>
      <c r="AD158" s="8">
        <f t="shared" si="188"/>
        <v>92</v>
      </c>
      <c r="AE158" s="8">
        <f t="shared" si="15"/>
        <v>1</v>
      </c>
    </row>
    <row r="159" ht="22.5" customHeight="1">
      <c r="A159" s="7" t="s">
        <v>219</v>
      </c>
      <c r="B159" s="7" t="s">
        <v>118</v>
      </c>
      <c r="C159" s="7">
        <f t="shared" si="3"/>
        <v>1</v>
      </c>
      <c r="D159" s="7">
        <v>24206.63672</v>
      </c>
      <c r="E159" s="7">
        <v>16.62599945</v>
      </c>
      <c r="F159" s="7">
        <v>46.91179747</v>
      </c>
      <c r="G159" s="7">
        <v>21.6538987</v>
      </c>
      <c r="H159" s="7">
        <v>27.02751244</v>
      </c>
      <c r="I159" s="7">
        <v>4.406791392</v>
      </c>
      <c r="J159" s="7">
        <v>39.15415932</v>
      </c>
      <c r="K159" s="7">
        <v>23.98774039</v>
      </c>
      <c r="L159" s="7">
        <v>31.99150648</v>
      </c>
      <c r="M159" s="7">
        <v>4.866593813</v>
      </c>
      <c r="N159" s="7">
        <v>85.81383976</v>
      </c>
      <c r="O159" s="7">
        <v>9.950440829</v>
      </c>
      <c r="P159" s="7">
        <v>2.13468778</v>
      </c>
      <c r="Q159" s="7">
        <v>2.101031634</v>
      </c>
      <c r="R159" s="8">
        <f t="shared" si="4"/>
        <v>17</v>
      </c>
      <c r="S159" s="8">
        <f t="shared" si="60"/>
        <v>24206636.72</v>
      </c>
      <c r="T159" s="8">
        <f t="shared" si="61"/>
        <v>4024595.288</v>
      </c>
      <c r="U159" s="8">
        <f t="shared" si="7"/>
        <v>20182041.43</v>
      </c>
      <c r="V159" s="8">
        <f t="shared" ref="V159:W159" si="329">T159/1000</f>
        <v>4024.595288</v>
      </c>
      <c r="W159" s="8">
        <f t="shared" si="329"/>
        <v>20182.04143</v>
      </c>
      <c r="X159" s="8">
        <f t="shared" si="9"/>
        <v>83.37400055</v>
      </c>
      <c r="Y159" s="8">
        <f t="shared" si="10"/>
        <v>17</v>
      </c>
      <c r="Z159" s="8">
        <f t="shared" si="11"/>
        <v>84</v>
      </c>
      <c r="AA159" s="8">
        <f t="shared" si="12"/>
        <v>25</v>
      </c>
      <c r="AB159" s="8">
        <f t="shared" ref="AB159:AC159" si="330">ROUNDUP(V159/1000,0)</f>
        <v>5</v>
      </c>
      <c r="AC159" s="8">
        <f t="shared" si="330"/>
        <v>21</v>
      </c>
      <c r="AD159" s="8">
        <f t="shared" si="188"/>
        <v>47</v>
      </c>
      <c r="AE159" s="8">
        <f t="shared" si="15"/>
        <v>1</v>
      </c>
    </row>
    <row r="160" ht="22.5" customHeight="1">
      <c r="A160" s="7" t="s">
        <v>220</v>
      </c>
      <c r="B160" s="7" t="s">
        <v>44</v>
      </c>
      <c r="C160" s="7">
        <f t="shared" si="3"/>
        <v>4</v>
      </c>
      <c r="D160" s="7">
        <v>25499.88086</v>
      </c>
      <c r="E160" s="7">
        <v>86.24099731</v>
      </c>
      <c r="F160" s="7">
        <v>99.96981182</v>
      </c>
      <c r="G160" s="7">
        <v>0.0</v>
      </c>
      <c r="H160" s="7">
        <v>0.03018817873</v>
      </c>
      <c r="I160" s="7">
        <v>0.0</v>
      </c>
      <c r="J160" s="7">
        <v>100.0</v>
      </c>
      <c r="K160" s="7">
        <v>0.0</v>
      </c>
      <c r="L160" s="7">
        <v>0.0</v>
      </c>
      <c r="M160" s="7">
        <v>0.0</v>
      </c>
      <c r="N160" s="7">
        <v>99.965</v>
      </c>
      <c r="O160" s="7">
        <v>0.0</v>
      </c>
      <c r="P160" s="7">
        <v>0.035</v>
      </c>
      <c r="Q160" s="7">
        <v>0.0</v>
      </c>
      <c r="R160" s="8">
        <f t="shared" si="4"/>
        <v>17</v>
      </c>
      <c r="S160" s="8">
        <f t="shared" si="60"/>
        <v>25499880.86</v>
      </c>
      <c r="T160" s="8">
        <f t="shared" si="61"/>
        <v>21991351.57</v>
      </c>
      <c r="U160" s="8">
        <f t="shared" si="7"/>
        <v>3508529.293</v>
      </c>
      <c r="V160" s="8">
        <f t="shared" ref="V160:W160" si="331">T160/1000</f>
        <v>21991.35157</v>
      </c>
      <c r="W160" s="8">
        <f t="shared" si="331"/>
        <v>3508.529293</v>
      </c>
      <c r="X160" s="8">
        <f t="shared" si="9"/>
        <v>13.75900269</v>
      </c>
      <c r="Y160" s="8">
        <f t="shared" si="10"/>
        <v>87</v>
      </c>
      <c r="Z160" s="8">
        <f t="shared" si="11"/>
        <v>14</v>
      </c>
      <c r="AA160" s="8">
        <f t="shared" si="12"/>
        <v>26</v>
      </c>
      <c r="AB160" s="8">
        <f t="shared" ref="AB160:AC160" si="332">ROUNDUP(V160/1000,0)</f>
        <v>22</v>
      </c>
      <c r="AC160" s="8">
        <f t="shared" si="332"/>
        <v>4</v>
      </c>
      <c r="AD160" s="8">
        <f t="shared" si="188"/>
        <v>100</v>
      </c>
      <c r="AE160" s="8">
        <f t="shared" si="15"/>
        <v>1</v>
      </c>
    </row>
    <row r="161" ht="22.5" customHeight="1">
      <c r="A161" s="7" t="s">
        <v>221</v>
      </c>
      <c r="B161" s="7" t="s">
        <v>118</v>
      </c>
      <c r="C161" s="7">
        <f t="shared" si="3"/>
        <v>1</v>
      </c>
      <c r="D161" s="7">
        <v>25778.81445</v>
      </c>
      <c r="E161" s="7">
        <v>62.38100052</v>
      </c>
      <c r="F161" s="7">
        <v>93.84384303</v>
      </c>
      <c r="G161" s="7">
        <v>0.6831311872</v>
      </c>
      <c r="H161" s="7">
        <v>5.20969278</v>
      </c>
      <c r="I161" s="7">
        <v>0.2633330058</v>
      </c>
      <c r="J161" s="7">
        <v>88.75362488</v>
      </c>
      <c r="K161" s="7">
        <v>0.3564402606</v>
      </c>
      <c r="L161" s="7">
        <v>10.18993486</v>
      </c>
      <c r="M161" s="7">
        <v>0.7</v>
      </c>
      <c r="N161" s="7">
        <v>96.91351044</v>
      </c>
      <c r="O161" s="7">
        <v>0.8801428799</v>
      </c>
      <c r="P161" s="7">
        <v>2.206346677</v>
      </c>
      <c r="Q161" s="7">
        <v>0.0</v>
      </c>
      <c r="R161" s="8">
        <f t="shared" si="4"/>
        <v>17</v>
      </c>
      <c r="S161" s="8">
        <f t="shared" si="60"/>
        <v>25778814.45</v>
      </c>
      <c r="T161" s="8">
        <f t="shared" si="61"/>
        <v>16081082.38</v>
      </c>
      <c r="U161" s="8">
        <f t="shared" si="7"/>
        <v>9697732.074</v>
      </c>
      <c r="V161" s="8">
        <f t="shared" ref="V161:W161" si="333">T161/1000</f>
        <v>16081.08238</v>
      </c>
      <c r="W161" s="8">
        <f t="shared" si="333"/>
        <v>9697.732074</v>
      </c>
      <c r="X161" s="8">
        <f t="shared" si="9"/>
        <v>37.61899948</v>
      </c>
      <c r="Y161" s="8">
        <f t="shared" si="10"/>
        <v>63</v>
      </c>
      <c r="Z161" s="8">
        <f t="shared" si="11"/>
        <v>38</v>
      </c>
      <c r="AA161" s="8">
        <f t="shared" si="12"/>
        <v>26</v>
      </c>
      <c r="AB161" s="8">
        <f t="shared" ref="AB161:AC161" si="334">ROUNDUP(V161/1000,0)</f>
        <v>17</v>
      </c>
      <c r="AC161" s="8">
        <f t="shared" si="334"/>
        <v>10</v>
      </c>
      <c r="AD161" s="8">
        <f t="shared" si="188"/>
        <v>94</v>
      </c>
      <c r="AE161" s="8">
        <f t="shared" si="15"/>
        <v>1</v>
      </c>
    </row>
    <row r="162" ht="22.5" customHeight="1">
      <c r="A162" s="7" t="s">
        <v>222</v>
      </c>
      <c r="B162" s="7" t="s">
        <v>67</v>
      </c>
      <c r="C162" s="7">
        <f t="shared" si="3"/>
        <v>2</v>
      </c>
      <c r="D162" s="7">
        <v>26378.27539</v>
      </c>
      <c r="E162" s="7">
        <v>51.70599747</v>
      </c>
      <c r="F162" s="7">
        <v>70.90907039</v>
      </c>
      <c r="G162" s="7">
        <v>8.935421702</v>
      </c>
      <c r="H162" s="7">
        <v>14.19244161</v>
      </c>
      <c r="I162" s="7">
        <v>5.963066293</v>
      </c>
      <c r="J162" s="7">
        <v>55.72244686</v>
      </c>
      <c r="K162" s="7">
        <v>13.34316829</v>
      </c>
      <c r="L162" s="7">
        <v>23.17527956</v>
      </c>
      <c r="M162" s="7">
        <v>7.759105289</v>
      </c>
      <c r="N162" s="7">
        <v>85.09355329</v>
      </c>
      <c r="O162" s="7">
        <v>4.818535156</v>
      </c>
      <c r="P162" s="7">
        <v>5.80236656</v>
      </c>
      <c r="Q162" s="7">
        <v>4.285544994</v>
      </c>
      <c r="R162" s="8">
        <f t="shared" si="4"/>
        <v>17</v>
      </c>
      <c r="S162" s="8">
        <f t="shared" si="60"/>
        <v>26378275.39</v>
      </c>
      <c r="T162" s="8">
        <f t="shared" si="61"/>
        <v>13639150.41</v>
      </c>
      <c r="U162" s="8">
        <f t="shared" si="7"/>
        <v>12739124.98</v>
      </c>
      <c r="V162" s="8">
        <f t="shared" ref="V162:W162" si="335">T162/1000</f>
        <v>13639.15041</v>
      </c>
      <c r="W162" s="8">
        <f t="shared" si="335"/>
        <v>12739.12498</v>
      </c>
      <c r="X162" s="8">
        <f t="shared" si="9"/>
        <v>48.29400253</v>
      </c>
      <c r="Y162" s="8">
        <f t="shared" si="10"/>
        <v>52</v>
      </c>
      <c r="Z162" s="8">
        <f t="shared" si="11"/>
        <v>49</v>
      </c>
      <c r="AA162" s="8">
        <f t="shared" si="12"/>
        <v>27</v>
      </c>
      <c r="AB162" s="8">
        <f t="shared" ref="AB162:AC162" si="336">ROUNDUP(V162/1000,0)</f>
        <v>14</v>
      </c>
      <c r="AC162" s="8">
        <f t="shared" si="336"/>
        <v>13</v>
      </c>
      <c r="AD162" s="8">
        <f t="shared" si="188"/>
        <v>71</v>
      </c>
      <c r="AE162" s="8">
        <f t="shared" si="15"/>
        <v>1</v>
      </c>
    </row>
    <row r="163" ht="22.5" customHeight="1">
      <c r="A163" s="7" t="s">
        <v>223</v>
      </c>
      <c r="B163" s="7" t="s">
        <v>67</v>
      </c>
      <c r="C163" s="7">
        <f t="shared" si="3"/>
        <v>2</v>
      </c>
      <c r="D163" s="7">
        <v>26545.86328</v>
      </c>
      <c r="E163" s="7">
        <v>57.56000519</v>
      </c>
      <c r="F163" s="7">
        <v>65.72041818</v>
      </c>
      <c r="G163" s="7">
        <v>12.87474863</v>
      </c>
      <c r="H163" s="7">
        <v>15.00100626</v>
      </c>
      <c r="I163" s="7">
        <v>6.403826927</v>
      </c>
      <c r="J163" s="7">
        <v>43.52758112</v>
      </c>
      <c r="K163" s="7">
        <v>12.67259943</v>
      </c>
      <c r="L163" s="7">
        <v>30.12380645</v>
      </c>
      <c r="M163" s="7">
        <v>13.676013</v>
      </c>
      <c r="N163" s="7">
        <v>82.08358486</v>
      </c>
      <c r="O163" s="7">
        <v>13.02379677</v>
      </c>
      <c r="P163" s="7">
        <v>3.850701351</v>
      </c>
      <c r="Q163" s="7">
        <v>1.041917019</v>
      </c>
      <c r="R163" s="8">
        <f t="shared" si="4"/>
        <v>17</v>
      </c>
      <c r="S163" s="8">
        <f t="shared" si="60"/>
        <v>26545863.28</v>
      </c>
      <c r="T163" s="8">
        <f t="shared" si="61"/>
        <v>15279800.28</v>
      </c>
      <c r="U163" s="8">
        <f t="shared" si="7"/>
        <v>11266063</v>
      </c>
      <c r="V163" s="8">
        <f t="shared" ref="V163:W163" si="337">T163/1000</f>
        <v>15279.80028</v>
      </c>
      <c r="W163" s="8">
        <f t="shared" si="337"/>
        <v>11266.063</v>
      </c>
      <c r="X163" s="8">
        <f t="shared" si="9"/>
        <v>42.43999481</v>
      </c>
      <c r="Y163" s="8">
        <f t="shared" si="10"/>
        <v>58</v>
      </c>
      <c r="Z163" s="8">
        <f t="shared" si="11"/>
        <v>43</v>
      </c>
      <c r="AA163" s="8">
        <f t="shared" si="12"/>
        <v>27</v>
      </c>
      <c r="AB163" s="8">
        <f t="shared" ref="AB163:AC163" si="338">ROUNDUP(V163/1000,0)</f>
        <v>16</v>
      </c>
      <c r="AC163" s="8">
        <f t="shared" si="338"/>
        <v>12</v>
      </c>
      <c r="AD163" s="8">
        <f t="shared" si="188"/>
        <v>66</v>
      </c>
      <c r="AE163" s="8">
        <f t="shared" si="15"/>
        <v>1</v>
      </c>
    </row>
    <row r="164" ht="22.5" customHeight="1">
      <c r="A164" s="7" t="s">
        <v>224</v>
      </c>
      <c r="B164" s="7" t="s">
        <v>118</v>
      </c>
      <c r="C164" s="7">
        <f t="shared" si="3"/>
        <v>1</v>
      </c>
      <c r="D164" s="7">
        <v>27691.01953</v>
      </c>
      <c r="E164" s="7">
        <v>38.5340004</v>
      </c>
      <c r="F164" s="7">
        <v>53.38588491</v>
      </c>
      <c r="G164" s="7">
        <v>2.71797298</v>
      </c>
      <c r="H164" s="7">
        <v>32.31145967</v>
      </c>
      <c r="I164" s="7">
        <v>11.58468244</v>
      </c>
      <c r="J164" s="7">
        <v>36.40642028</v>
      </c>
      <c r="K164" s="7">
        <v>1.601776163</v>
      </c>
      <c r="L164" s="7">
        <v>43.95389345</v>
      </c>
      <c r="M164" s="7">
        <v>18.03791011</v>
      </c>
      <c r="N164" s="7">
        <v>80.47000694</v>
      </c>
      <c r="O164" s="7">
        <v>4.498430298</v>
      </c>
      <c r="P164" s="7">
        <v>13.74049434</v>
      </c>
      <c r="Q164" s="7">
        <v>1.291068417</v>
      </c>
      <c r="R164" s="8">
        <f t="shared" si="4"/>
        <v>17</v>
      </c>
      <c r="S164" s="8">
        <f t="shared" si="60"/>
        <v>27691019.53</v>
      </c>
      <c r="T164" s="8">
        <f t="shared" si="61"/>
        <v>10670457.58</v>
      </c>
      <c r="U164" s="8">
        <f t="shared" si="7"/>
        <v>17020561.95</v>
      </c>
      <c r="V164" s="8">
        <f t="shared" ref="V164:W164" si="339">T164/1000</f>
        <v>10670.45758</v>
      </c>
      <c r="W164" s="8">
        <f t="shared" si="339"/>
        <v>17020.56195</v>
      </c>
      <c r="X164" s="8">
        <f t="shared" si="9"/>
        <v>61.4659996</v>
      </c>
      <c r="Y164" s="8">
        <f t="shared" si="10"/>
        <v>39</v>
      </c>
      <c r="Z164" s="8">
        <f t="shared" si="11"/>
        <v>62</v>
      </c>
      <c r="AA164" s="8">
        <f t="shared" si="12"/>
        <v>28</v>
      </c>
      <c r="AB164" s="8">
        <f t="shared" ref="AB164:AC164" si="340">ROUNDUP(V164/1000,0)</f>
        <v>11</v>
      </c>
      <c r="AC164" s="8">
        <f t="shared" si="340"/>
        <v>18</v>
      </c>
      <c r="AD164" s="8">
        <f t="shared" si="188"/>
        <v>53</v>
      </c>
      <c r="AE164" s="8">
        <f t="shared" si="15"/>
        <v>1</v>
      </c>
    </row>
    <row r="165" ht="22.5" customHeight="1">
      <c r="A165" s="7" t="s">
        <v>225</v>
      </c>
      <c r="B165" s="7" t="s">
        <v>36</v>
      </c>
      <c r="C165" s="7">
        <f t="shared" si="3"/>
        <v>0</v>
      </c>
      <c r="D165" s="7">
        <v>28435.94336</v>
      </c>
      <c r="E165" s="7">
        <v>88.27899933</v>
      </c>
      <c r="F165" s="7">
        <v>93.68580071</v>
      </c>
      <c r="G165" s="7">
        <v>0.4707829181</v>
      </c>
      <c r="H165" s="7">
        <v>5.843416373</v>
      </c>
      <c r="I165" s="7" t="s">
        <v>36</v>
      </c>
      <c r="J165" s="7" t="s">
        <v>36</v>
      </c>
      <c r="K165" s="7" t="s">
        <v>36</v>
      </c>
      <c r="L165" s="7" t="s">
        <v>36</v>
      </c>
      <c r="M165" s="7" t="s">
        <v>36</v>
      </c>
      <c r="N165" s="7" t="s">
        <v>36</v>
      </c>
      <c r="O165" s="7" t="s">
        <v>36</v>
      </c>
      <c r="P165" s="7" t="s">
        <v>36</v>
      </c>
      <c r="Q165" s="7" t="s">
        <v>36</v>
      </c>
      <c r="R165" s="8">
        <f t="shared" si="4"/>
        <v>17</v>
      </c>
      <c r="S165" s="8">
        <f t="shared" si="60"/>
        <v>28435943.36</v>
      </c>
      <c r="T165" s="8">
        <f t="shared" si="61"/>
        <v>25102966.25</v>
      </c>
      <c r="U165" s="8">
        <f t="shared" si="7"/>
        <v>3332977.112</v>
      </c>
      <c r="V165" s="8">
        <f t="shared" ref="V165:W165" si="341">T165/1000</f>
        <v>25102.96625</v>
      </c>
      <c r="W165" s="8">
        <f t="shared" si="341"/>
        <v>3332.977112</v>
      </c>
      <c r="X165" s="8">
        <f t="shared" si="9"/>
        <v>11.72100067</v>
      </c>
      <c r="Y165" s="8">
        <f t="shared" si="10"/>
        <v>89</v>
      </c>
      <c r="Z165" s="8">
        <f t="shared" si="11"/>
        <v>12</v>
      </c>
      <c r="AA165" s="8">
        <f t="shared" si="12"/>
        <v>29</v>
      </c>
      <c r="AB165" s="8">
        <f t="shared" ref="AB165:AC165" si="342">ROUNDUP(V165/1000,0)</f>
        <v>26</v>
      </c>
      <c r="AC165" s="8">
        <f t="shared" si="342"/>
        <v>4</v>
      </c>
      <c r="AD165" s="8">
        <f t="shared" si="188"/>
        <v>94</v>
      </c>
      <c r="AE165" s="8">
        <f t="shared" si="15"/>
        <v>1</v>
      </c>
    </row>
    <row r="166" ht="22.5" customHeight="1">
      <c r="A166" s="7" t="s">
        <v>226</v>
      </c>
      <c r="B166" s="7" t="s">
        <v>67</v>
      </c>
      <c r="C166" s="7">
        <f t="shared" si="3"/>
        <v>2</v>
      </c>
      <c r="D166" s="7">
        <v>29136.80859</v>
      </c>
      <c r="E166" s="7">
        <v>20.57600021</v>
      </c>
      <c r="F166" s="7">
        <v>90.07454179</v>
      </c>
      <c r="G166" s="7">
        <v>3.979825725</v>
      </c>
      <c r="H166" s="7">
        <v>4.699081176</v>
      </c>
      <c r="I166" s="7">
        <v>1.246551314</v>
      </c>
      <c r="J166" s="7">
        <v>90.20327165</v>
      </c>
      <c r="K166" s="7">
        <v>4.207348246</v>
      </c>
      <c r="L166" s="7">
        <v>4.269023951</v>
      </c>
      <c r="M166" s="7">
        <v>1.320356149</v>
      </c>
      <c r="N166" s="7">
        <v>89.57763316</v>
      </c>
      <c r="O166" s="7">
        <v>3.101581411</v>
      </c>
      <c r="P166" s="7">
        <v>6.359123168</v>
      </c>
      <c r="Q166" s="7">
        <v>0.9616622585</v>
      </c>
      <c r="R166" s="8">
        <f t="shared" si="4"/>
        <v>17</v>
      </c>
      <c r="S166" s="8">
        <f t="shared" si="60"/>
        <v>29136808.59</v>
      </c>
      <c r="T166" s="8">
        <f t="shared" si="61"/>
        <v>5995189.797</v>
      </c>
      <c r="U166" s="8">
        <f t="shared" si="7"/>
        <v>23141618.79</v>
      </c>
      <c r="V166" s="8">
        <f t="shared" ref="V166:W166" si="343">T166/1000</f>
        <v>5995.189797</v>
      </c>
      <c r="W166" s="8">
        <f t="shared" si="343"/>
        <v>23141.61879</v>
      </c>
      <c r="X166" s="8">
        <f t="shared" si="9"/>
        <v>79.42399979</v>
      </c>
      <c r="Y166" s="8">
        <f t="shared" si="10"/>
        <v>21</v>
      </c>
      <c r="Z166" s="8">
        <f t="shared" si="11"/>
        <v>80</v>
      </c>
      <c r="AA166" s="8">
        <f t="shared" si="12"/>
        <v>30</v>
      </c>
      <c r="AB166" s="8">
        <f t="shared" ref="AB166:AC166" si="344">ROUNDUP(V166/1000,0)</f>
        <v>6</v>
      </c>
      <c r="AC166" s="8">
        <f t="shared" si="344"/>
        <v>24</v>
      </c>
      <c r="AD166" s="8">
        <f t="shared" si="188"/>
        <v>90</v>
      </c>
      <c r="AE166" s="8">
        <f t="shared" si="15"/>
        <v>1</v>
      </c>
    </row>
    <row r="167" ht="22.5" customHeight="1">
      <c r="A167" s="7" t="s">
        <v>227</v>
      </c>
      <c r="B167" s="7" t="s">
        <v>118</v>
      </c>
      <c r="C167" s="7">
        <f t="shared" si="3"/>
        <v>1</v>
      </c>
      <c r="D167" s="7">
        <v>29825.96875</v>
      </c>
      <c r="E167" s="7">
        <v>37.90799713</v>
      </c>
      <c r="F167" s="7">
        <v>60.66356984</v>
      </c>
      <c r="G167" s="7">
        <v>28.9627418</v>
      </c>
      <c r="H167" s="7">
        <v>7.77785276</v>
      </c>
      <c r="I167" s="7">
        <v>2.595835594</v>
      </c>
      <c r="J167" s="7">
        <v>50.68133437</v>
      </c>
      <c r="K167" s="7">
        <v>33.53021373</v>
      </c>
      <c r="L167" s="7">
        <v>11.60782393</v>
      </c>
      <c r="M167" s="7">
        <v>4.180627978</v>
      </c>
      <c r="N167" s="7">
        <v>77.01412934</v>
      </c>
      <c r="O167" s="7">
        <v>21.48137937</v>
      </c>
      <c r="P167" s="7">
        <v>1.504491286</v>
      </c>
      <c r="Q167" s="7">
        <v>0.0</v>
      </c>
      <c r="R167" s="8">
        <f t="shared" si="4"/>
        <v>17</v>
      </c>
      <c r="S167" s="8">
        <f t="shared" si="60"/>
        <v>29825968.75</v>
      </c>
      <c r="T167" s="8">
        <f t="shared" si="61"/>
        <v>11306427.38</v>
      </c>
      <c r="U167" s="8">
        <f t="shared" si="7"/>
        <v>18519541.37</v>
      </c>
      <c r="V167" s="8">
        <f t="shared" ref="V167:W167" si="345">T167/1000</f>
        <v>11306.42738</v>
      </c>
      <c r="W167" s="8">
        <f t="shared" si="345"/>
        <v>18519.54137</v>
      </c>
      <c r="X167" s="8">
        <f t="shared" si="9"/>
        <v>62.09200287</v>
      </c>
      <c r="Y167" s="8">
        <f t="shared" si="10"/>
        <v>38</v>
      </c>
      <c r="Z167" s="8">
        <f t="shared" si="11"/>
        <v>63</v>
      </c>
      <c r="AA167" s="8">
        <f t="shared" si="12"/>
        <v>30</v>
      </c>
      <c r="AB167" s="8">
        <f t="shared" ref="AB167:AC167" si="346">ROUNDUP(V167/1000,0)</f>
        <v>12</v>
      </c>
      <c r="AC167" s="8">
        <f t="shared" si="346"/>
        <v>19</v>
      </c>
      <c r="AD167" s="8">
        <f t="shared" si="188"/>
        <v>61</v>
      </c>
      <c r="AE167" s="8">
        <f t="shared" si="15"/>
        <v>1</v>
      </c>
    </row>
    <row r="168" ht="22.5" customHeight="1">
      <c r="A168" s="7" t="s">
        <v>228</v>
      </c>
      <c r="B168" s="7" t="s">
        <v>67</v>
      </c>
      <c r="C168" s="7">
        <f t="shared" si="3"/>
        <v>2</v>
      </c>
      <c r="D168" s="7">
        <v>31072.94531</v>
      </c>
      <c r="E168" s="7">
        <v>57.34899902</v>
      </c>
      <c r="F168" s="7">
        <v>85.79099665</v>
      </c>
      <c r="G168" s="7">
        <v>6.586062113</v>
      </c>
      <c r="H168" s="7">
        <v>2.812216176</v>
      </c>
      <c r="I168" s="7">
        <v>4.810725058</v>
      </c>
      <c r="J168" s="7">
        <v>71.89275005</v>
      </c>
      <c r="K168" s="7">
        <v>11.93454827</v>
      </c>
      <c r="L168" s="7">
        <v>4.999356483</v>
      </c>
      <c r="M168" s="7">
        <v>11.17334519</v>
      </c>
      <c r="N168" s="7">
        <v>96.12725952</v>
      </c>
      <c r="O168" s="7">
        <v>2.608342455</v>
      </c>
      <c r="P168" s="7">
        <v>1.185613803</v>
      </c>
      <c r="Q168" s="7">
        <v>0.07878421819</v>
      </c>
      <c r="R168" s="8">
        <f t="shared" si="4"/>
        <v>17</v>
      </c>
      <c r="S168" s="8">
        <f t="shared" si="60"/>
        <v>31072945.31</v>
      </c>
      <c r="T168" s="8">
        <f t="shared" si="61"/>
        <v>17820023.1</v>
      </c>
      <c r="U168" s="8">
        <f t="shared" si="7"/>
        <v>13252922.21</v>
      </c>
      <c r="V168" s="8">
        <f t="shared" ref="V168:W168" si="347">T168/1000</f>
        <v>17820.0231</v>
      </c>
      <c r="W168" s="8">
        <f t="shared" si="347"/>
        <v>13252.92221</v>
      </c>
      <c r="X168" s="8">
        <f t="shared" si="9"/>
        <v>42.65100098</v>
      </c>
      <c r="Y168" s="8">
        <f t="shared" si="10"/>
        <v>58</v>
      </c>
      <c r="Z168" s="8">
        <f t="shared" si="11"/>
        <v>43</v>
      </c>
      <c r="AA168" s="8">
        <f t="shared" si="12"/>
        <v>32</v>
      </c>
      <c r="AB168" s="8">
        <f t="shared" ref="AB168:AC168" si="348">ROUNDUP(V168/1000,0)</f>
        <v>18</v>
      </c>
      <c r="AC168" s="8">
        <f t="shared" si="348"/>
        <v>14</v>
      </c>
      <c r="AD168" s="8">
        <f t="shared" si="188"/>
        <v>86</v>
      </c>
      <c r="AE168" s="8">
        <f t="shared" si="15"/>
        <v>1</v>
      </c>
    </row>
    <row r="169" ht="22.5" customHeight="1">
      <c r="A169" s="7" t="s">
        <v>229</v>
      </c>
      <c r="B169" s="7" t="s">
        <v>118</v>
      </c>
      <c r="C169" s="7">
        <f t="shared" si="3"/>
        <v>1</v>
      </c>
      <c r="D169" s="7">
        <v>31255.43555</v>
      </c>
      <c r="E169" s="7">
        <v>37.0739975</v>
      </c>
      <c r="F169" s="7">
        <v>63.36942563</v>
      </c>
      <c r="G169" s="7">
        <v>9.975784507</v>
      </c>
      <c r="H169" s="7">
        <v>16.72614511</v>
      </c>
      <c r="I169" s="7">
        <v>9.928644759</v>
      </c>
      <c r="J169" s="7">
        <v>48.8666865</v>
      </c>
      <c r="K169" s="7">
        <v>12.64088359</v>
      </c>
      <c r="L169" s="7">
        <v>23.6862564</v>
      </c>
      <c r="M169" s="7">
        <v>14.80617352</v>
      </c>
      <c r="N169" s="7">
        <v>87.98504792</v>
      </c>
      <c r="O169" s="7">
        <v>5.452291027</v>
      </c>
      <c r="P169" s="7">
        <v>4.912684644</v>
      </c>
      <c r="Q169" s="7">
        <v>1.649976404</v>
      </c>
      <c r="R169" s="8">
        <f t="shared" si="4"/>
        <v>17</v>
      </c>
      <c r="S169" s="8">
        <f t="shared" si="60"/>
        <v>31255435.55</v>
      </c>
      <c r="T169" s="8">
        <f t="shared" si="61"/>
        <v>11587639.39</v>
      </c>
      <c r="U169" s="8">
        <f t="shared" si="7"/>
        <v>19667796.16</v>
      </c>
      <c r="V169" s="8">
        <f t="shared" ref="V169:W169" si="349">T169/1000</f>
        <v>11587.63939</v>
      </c>
      <c r="W169" s="8">
        <f t="shared" si="349"/>
        <v>19667.79616</v>
      </c>
      <c r="X169" s="8">
        <f t="shared" si="9"/>
        <v>62.9260025</v>
      </c>
      <c r="Y169" s="8">
        <f t="shared" si="10"/>
        <v>38</v>
      </c>
      <c r="Z169" s="8">
        <f t="shared" si="11"/>
        <v>63</v>
      </c>
      <c r="AA169" s="8">
        <f t="shared" si="12"/>
        <v>32</v>
      </c>
      <c r="AB169" s="8">
        <f t="shared" ref="AB169:AC169" si="350">ROUNDUP(V169/1000,0)</f>
        <v>12</v>
      </c>
      <c r="AC169" s="8">
        <f t="shared" si="350"/>
        <v>20</v>
      </c>
      <c r="AD169" s="8">
        <f t="shared" si="188"/>
        <v>63</v>
      </c>
      <c r="AE169" s="8">
        <f t="shared" si="15"/>
        <v>1</v>
      </c>
    </row>
    <row r="170" ht="22.5" customHeight="1">
      <c r="A170" s="7" t="s">
        <v>230</v>
      </c>
      <c r="B170" s="7" t="s">
        <v>47</v>
      </c>
      <c r="C170" s="7">
        <f t="shared" si="3"/>
        <v>3</v>
      </c>
      <c r="D170" s="7">
        <v>32365.99805</v>
      </c>
      <c r="E170" s="7">
        <v>77.15999603</v>
      </c>
      <c r="F170" s="7">
        <v>97.09990707</v>
      </c>
      <c r="G170" s="7">
        <v>0.3545396865</v>
      </c>
      <c r="H170" s="7">
        <v>2.545553241</v>
      </c>
      <c r="I170" s="7" t="s">
        <v>36</v>
      </c>
      <c r="J170" s="7">
        <v>90.19744812</v>
      </c>
      <c r="K170" s="7">
        <v>0.5444513971</v>
      </c>
      <c r="L170" s="7">
        <v>9.258100478</v>
      </c>
      <c r="M170" s="7" t="s">
        <v>36</v>
      </c>
      <c r="N170" s="7">
        <v>99.14309591</v>
      </c>
      <c r="O170" s="7">
        <v>0.2983242605</v>
      </c>
      <c r="P170" s="7">
        <v>0.4685798319</v>
      </c>
      <c r="Q170" s="7">
        <v>0.09</v>
      </c>
      <c r="R170" s="8">
        <f t="shared" si="4"/>
        <v>17</v>
      </c>
      <c r="S170" s="8">
        <f t="shared" si="60"/>
        <v>32365998.05</v>
      </c>
      <c r="T170" s="8">
        <f t="shared" si="61"/>
        <v>24973602.81</v>
      </c>
      <c r="U170" s="8">
        <f t="shared" si="7"/>
        <v>7392395.24</v>
      </c>
      <c r="V170" s="8">
        <f t="shared" ref="V170:W170" si="351">T170/1000</f>
        <v>24973.60281</v>
      </c>
      <c r="W170" s="8">
        <f t="shared" si="351"/>
        <v>7392.39524</v>
      </c>
      <c r="X170" s="8">
        <f t="shared" si="9"/>
        <v>22.84000397</v>
      </c>
      <c r="Y170" s="8">
        <f t="shared" si="10"/>
        <v>78</v>
      </c>
      <c r="Z170" s="8">
        <f t="shared" si="11"/>
        <v>23</v>
      </c>
      <c r="AA170" s="8">
        <f t="shared" si="12"/>
        <v>33</v>
      </c>
      <c r="AB170" s="8">
        <f t="shared" ref="AB170:AC170" si="352">ROUNDUP(V170/1000,0)</f>
        <v>25</v>
      </c>
      <c r="AC170" s="8">
        <f t="shared" si="352"/>
        <v>8</v>
      </c>
      <c r="AD170" s="8">
        <f t="shared" si="188"/>
        <v>97</v>
      </c>
      <c r="AE170" s="8">
        <f t="shared" si="15"/>
        <v>1</v>
      </c>
    </row>
    <row r="171" ht="22.5" customHeight="1">
      <c r="A171" s="7" t="s">
        <v>231</v>
      </c>
      <c r="B171" s="7" t="s">
        <v>67</v>
      </c>
      <c r="C171" s="7">
        <f t="shared" si="3"/>
        <v>2</v>
      </c>
      <c r="D171" s="7">
        <v>32866.26953</v>
      </c>
      <c r="E171" s="7">
        <v>66.82499695</v>
      </c>
      <c r="F171" s="7">
        <v>57.16773762</v>
      </c>
      <c r="G171" s="7">
        <v>9.287349919</v>
      </c>
      <c r="H171" s="7">
        <v>19.45082534</v>
      </c>
      <c r="I171" s="7">
        <v>14.09408712</v>
      </c>
      <c r="J171" s="7">
        <v>27.80822661</v>
      </c>
      <c r="K171" s="7">
        <v>8.740488389</v>
      </c>
      <c r="L171" s="7">
        <v>22.93315258</v>
      </c>
      <c r="M171" s="7">
        <v>40.51813242</v>
      </c>
      <c r="N171" s="7">
        <v>71.74314862</v>
      </c>
      <c r="O171" s="7">
        <v>9.558837489</v>
      </c>
      <c r="P171" s="7">
        <v>17.72203473</v>
      </c>
      <c r="Q171" s="7">
        <v>0.9759791629</v>
      </c>
      <c r="R171" s="8">
        <f t="shared" si="4"/>
        <v>17</v>
      </c>
      <c r="S171" s="8">
        <f t="shared" si="60"/>
        <v>32866269.53</v>
      </c>
      <c r="T171" s="8">
        <f t="shared" si="61"/>
        <v>21962883.61</v>
      </c>
      <c r="U171" s="8">
        <f t="shared" si="7"/>
        <v>10903385.92</v>
      </c>
      <c r="V171" s="8">
        <f t="shared" ref="V171:W171" si="353">T171/1000</f>
        <v>21962.88361</v>
      </c>
      <c r="W171" s="8">
        <f t="shared" si="353"/>
        <v>10903.38592</v>
      </c>
      <c r="X171" s="8">
        <f t="shared" si="9"/>
        <v>33.17500305</v>
      </c>
      <c r="Y171" s="8">
        <f t="shared" si="10"/>
        <v>67</v>
      </c>
      <c r="Z171" s="8">
        <f t="shared" si="11"/>
        <v>34</v>
      </c>
      <c r="AA171" s="8">
        <f t="shared" si="12"/>
        <v>33</v>
      </c>
      <c r="AB171" s="8">
        <f t="shared" ref="AB171:AC171" si="354">ROUNDUP(V171/1000,0)</f>
        <v>22</v>
      </c>
      <c r="AC171" s="8">
        <f t="shared" si="354"/>
        <v>11</v>
      </c>
      <c r="AD171" s="8">
        <f t="shared" si="188"/>
        <v>57</v>
      </c>
      <c r="AE171" s="8">
        <f t="shared" si="15"/>
        <v>1</v>
      </c>
    </row>
    <row r="172" ht="22.5" customHeight="1">
      <c r="A172" s="7" t="s">
        <v>232</v>
      </c>
      <c r="B172" s="7" t="s">
        <v>47</v>
      </c>
      <c r="C172" s="7">
        <f t="shared" si="3"/>
        <v>3</v>
      </c>
      <c r="D172" s="7">
        <v>32971.84766</v>
      </c>
      <c r="E172" s="7">
        <v>78.2970047</v>
      </c>
      <c r="F172" s="7">
        <v>93.13936621</v>
      </c>
      <c r="G172" s="7">
        <v>0.8495593511</v>
      </c>
      <c r="H172" s="7">
        <v>4.150468349</v>
      </c>
      <c r="I172" s="7">
        <v>1.860606087</v>
      </c>
      <c r="J172" s="7">
        <v>80.79943849</v>
      </c>
      <c r="K172" s="7">
        <v>1.596943771</v>
      </c>
      <c r="L172" s="7">
        <v>9.612691163</v>
      </c>
      <c r="M172" s="7">
        <v>7.990926578</v>
      </c>
      <c r="N172" s="7">
        <v>96.55984408</v>
      </c>
      <c r="O172" s="7">
        <v>0.6423932356</v>
      </c>
      <c r="P172" s="7">
        <v>2.636408693</v>
      </c>
      <c r="Q172" s="7">
        <v>0.1613539953</v>
      </c>
      <c r="R172" s="8">
        <f t="shared" si="4"/>
        <v>17</v>
      </c>
      <c r="S172" s="8">
        <f t="shared" si="60"/>
        <v>32971847.66</v>
      </c>
      <c r="T172" s="8">
        <f t="shared" si="61"/>
        <v>25815969.11</v>
      </c>
      <c r="U172" s="8">
        <f t="shared" si="7"/>
        <v>7155878.548</v>
      </c>
      <c r="V172" s="8">
        <f t="shared" ref="V172:W172" si="355">T172/1000</f>
        <v>25815.96911</v>
      </c>
      <c r="W172" s="8">
        <f t="shared" si="355"/>
        <v>7155.878548</v>
      </c>
      <c r="X172" s="8">
        <f t="shared" si="9"/>
        <v>21.7029953</v>
      </c>
      <c r="Y172" s="8">
        <f t="shared" si="10"/>
        <v>79</v>
      </c>
      <c r="Z172" s="8">
        <f t="shared" si="11"/>
        <v>22</v>
      </c>
      <c r="AA172" s="8">
        <f t="shared" si="12"/>
        <v>33</v>
      </c>
      <c r="AB172" s="8">
        <f t="shared" ref="AB172:AC172" si="356">ROUNDUP(V172/1000,0)</f>
        <v>26</v>
      </c>
      <c r="AC172" s="8">
        <f t="shared" si="356"/>
        <v>8</v>
      </c>
      <c r="AD172" s="8">
        <f t="shared" si="188"/>
        <v>93</v>
      </c>
      <c r="AE172" s="8">
        <f t="shared" si="15"/>
        <v>1</v>
      </c>
    </row>
    <row r="173" ht="22.5" customHeight="1">
      <c r="A173" s="7" t="s">
        <v>233</v>
      </c>
      <c r="B173" s="7" t="s">
        <v>67</v>
      </c>
      <c r="C173" s="7">
        <f t="shared" si="3"/>
        <v>2</v>
      </c>
      <c r="D173" s="7">
        <v>33469.19922</v>
      </c>
      <c r="E173" s="7">
        <v>50.41599655</v>
      </c>
      <c r="F173" s="7">
        <v>97.82878485</v>
      </c>
      <c r="G173" s="7">
        <v>0.0</v>
      </c>
      <c r="H173" s="7">
        <v>0.22384422</v>
      </c>
      <c r="I173" s="7">
        <v>1.947370925</v>
      </c>
      <c r="J173" s="7">
        <v>96.07258236</v>
      </c>
      <c r="K173" s="7">
        <v>0.0</v>
      </c>
      <c r="L173" s="7">
        <v>0.0</v>
      </c>
      <c r="M173" s="7">
        <v>3.927417637</v>
      </c>
      <c r="N173" s="7">
        <v>99.55600556</v>
      </c>
      <c r="O173" s="7">
        <v>0.0</v>
      </c>
      <c r="P173" s="7">
        <v>0.4439944434</v>
      </c>
      <c r="Q173" s="7">
        <v>0.0</v>
      </c>
      <c r="R173" s="8">
        <f t="shared" si="4"/>
        <v>17</v>
      </c>
      <c r="S173" s="8">
        <f t="shared" si="60"/>
        <v>33469199.22</v>
      </c>
      <c r="T173" s="8">
        <f t="shared" si="61"/>
        <v>16873830.32</v>
      </c>
      <c r="U173" s="8">
        <f t="shared" si="7"/>
        <v>16595368.9</v>
      </c>
      <c r="V173" s="8">
        <f t="shared" ref="V173:W173" si="357">T173/1000</f>
        <v>16873.83032</v>
      </c>
      <c r="W173" s="8">
        <f t="shared" si="357"/>
        <v>16595.3689</v>
      </c>
      <c r="X173" s="8">
        <f t="shared" si="9"/>
        <v>49.58400345</v>
      </c>
      <c r="Y173" s="8">
        <f t="shared" si="10"/>
        <v>51</v>
      </c>
      <c r="Z173" s="8">
        <f t="shared" si="11"/>
        <v>50</v>
      </c>
      <c r="AA173" s="8">
        <f t="shared" si="12"/>
        <v>34</v>
      </c>
      <c r="AB173" s="8">
        <f t="shared" ref="AB173:AC173" si="358">ROUNDUP(V173/1000,0)</f>
        <v>17</v>
      </c>
      <c r="AC173" s="8">
        <f t="shared" si="358"/>
        <v>17</v>
      </c>
      <c r="AD173" s="8">
        <f t="shared" si="188"/>
        <v>98</v>
      </c>
      <c r="AE173" s="8">
        <f t="shared" si="15"/>
        <v>1</v>
      </c>
    </row>
    <row r="174" ht="22.5" customHeight="1">
      <c r="A174" s="7" t="s">
        <v>234</v>
      </c>
      <c r="B174" s="7" t="s">
        <v>44</v>
      </c>
      <c r="C174" s="7">
        <f t="shared" si="3"/>
        <v>4</v>
      </c>
      <c r="D174" s="7">
        <v>34813.86719</v>
      </c>
      <c r="E174" s="7">
        <v>84.28700256</v>
      </c>
      <c r="F174" s="7">
        <v>100.0</v>
      </c>
      <c r="G174" s="7">
        <v>0.0</v>
      </c>
      <c r="H174" s="7">
        <v>0.0</v>
      </c>
      <c r="I174" s="7">
        <v>0.0</v>
      </c>
      <c r="J174" s="7" t="s">
        <v>36</v>
      </c>
      <c r="K174" s="7" t="s">
        <v>36</v>
      </c>
      <c r="L174" s="7" t="s">
        <v>36</v>
      </c>
      <c r="M174" s="7" t="s">
        <v>36</v>
      </c>
      <c r="N174" s="7" t="s">
        <v>36</v>
      </c>
      <c r="O174" s="7" t="s">
        <v>36</v>
      </c>
      <c r="P174" s="7" t="s">
        <v>36</v>
      </c>
      <c r="Q174" s="7" t="s">
        <v>36</v>
      </c>
      <c r="R174" s="8">
        <f t="shared" si="4"/>
        <v>17</v>
      </c>
      <c r="S174" s="8">
        <f t="shared" si="60"/>
        <v>34813867.19</v>
      </c>
      <c r="T174" s="8">
        <f t="shared" si="61"/>
        <v>29343565.13</v>
      </c>
      <c r="U174" s="8">
        <f t="shared" si="7"/>
        <v>5470302.06</v>
      </c>
      <c r="V174" s="8">
        <f t="shared" ref="V174:W174" si="359">T174/1000</f>
        <v>29343.56513</v>
      </c>
      <c r="W174" s="8">
        <f t="shared" si="359"/>
        <v>5470.30206</v>
      </c>
      <c r="X174" s="8">
        <f t="shared" si="9"/>
        <v>15.71299744</v>
      </c>
      <c r="Y174" s="8">
        <f t="shared" si="10"/>
        <v>85</v>
      </c>
      <c r="Z174" s="8">
        <f t="shared" si="11"/>
        <v>16</v>
      </c>
      <c r="AA174" s="8">
        <f t="shared" si="12"/>
        <v>35</v>
      </c>
      <c r="AB174" s="8">
        <f t="shared" ref="AB174:AC174" si="360">ROUNDUP(V174/1000,0)</f>
        <v>30</v>
      </c>
      <c r="AC174" s="8">
        <f t="shared" si="360"/>
        <v>6</v>
      </c>
      <c r="AD174" s="8">
        <f t="shared" si="188"/>
        <v>100</v>
      </c>
      <c r="AE174" s="8">
        <f t="shared" si="15"/>
        <v>1</v>
      </c>
    </row>
    <row r="175" ht="22.5" customHeight="1">
      <c r="A175" s="7" t="s">
        <v>235</v>
      </c>
      <c r="B175" s="7" t="s">
        <v>67</v>
      </c>
      <c r="C175" s="7">
        <f t="shared" si="3"/>
        <v>2</v>
      </c>
      <c r="D175" s="7">
        <v>36910.55859</v>
      </c>
      <c r="E175" s="7">
        <v>63.53199768</v>
      </c>
      <c r="F175" s="7">
        <v>90.40234468</v>
      </c>
      <c r="G175" s="7">
        <v>5.263549601</v>
      </c>
      <c r="H175" s="7">
        <v>2.8776725</v>
      </c>
      <c r="I175" s="7">
        <v>1.456433219</v>
      </c>
      <c r="J175" s="7">
        <v>77.34612896</v>
      </c>
      <c r="K175" s="7">
        <v>12.03707816</v>
      </c>
      <c r="L175" s="7">
        <v>6.623063373</v>
      </c>
      <c r="M175" s="7">
        <v>3.993729502</v>
      </c>
      <c r="N175" s="7">
        <v>97.89674601</v>
      </c>
      <c r="O175" s="7">
        <v>1.375477117</v>
      </c>
      <c r="P175" s="7">
        <v>0.7277768759</v>
      </c>
      <c r="Q175" s="7">
        <v>0.0</v>
      </c>
      <c r="R175" s="8">
        <f t="shared" si="4"/>
        <v>17</v>
      </c>
      <c r="S175" s="8">
        <f t="shared" si="60"/>
        <v>36910558.59</v>
      </c>
      <c r="T175" s="8">
        <f t="shared" si="61"/>
        <v>23450015.23</v>
      </c>
      <c r="U175" s="8">
        <f t="shared" si="7"/>
        <v>13460543.36</v>
      </c>
      <c r="V175" s="8">
        <f t="shared" ref="V175:W175" si="361">T175/1000</f>
        <v>23450.01523</v>
      </c>
      <c r="W175" s="8">
        <f t="shared" si="361"/>
        <v>13460.54336</v>
      </c>
      <c r="X175" s="8">
        <f t="shared" si="9"/>
        <v>36.46800232</v>
      </c>
      <c r="Y175" s="8">
        <f t="shared" si="10"/>
        <v>64</v>
      </c>
      <c r="Z175" s="8">
        <f t="shared" si="11"/>
        <v>37</v>
      </c>
      <c r="AA175" s="8">
        <f t="shared" si="12"/>
        <v>37</v>
      </c>
      <c r="AB175" s="8">
        <f t="shared" ref="AB175:AC175" si="362">ROUNDUP(V175/1000,0)</f>
        <v>24</v>
      </c>
      <c r="AC175" s="8">
        <f t="shared" si="362"/>
        <v>14</v>
      </c>
      <c r="AD175" s="8">
        <f t="shared" si="188"/>
        <v>90</v>
      </c>
      <c r="AE175" s="8">
        <f t="shared" si="15"/>
        <v>1</v>
      </c>
    </row>
    <row r="176" ht="22.5" customHeight="1">
      <c r="A176" s="7" t="s">
        <v>236</v>
      </c>
      <c r="B176" s="7" t="s">
        <v>44</v>
      </c>
      <c r="C176" s="7">
        <f t="shared" si="3"/>
        <v>4</v>
      </c>
      <c r="D176" s="7">
        <v>37742.15625</v>
      </c>
      <c r="E176" s="7">
        <v>81.56200409</v>
      </c>
      <c r="F176" s="7">
        <v>99.22181066</v>
      </c>
      <c r="G176" s="7">
        <v>0.0</v>
      </c>
      <c r="H176" s="7">
        <v>0.7781893369</v>
      </c>
      <c r="I176" s="7">
        <v>0.0</v>
      </c>
      <c r="J176" s="7">
        <v>99.0604959</v>
      </c>
      <c r="K176" s="7">
        <v>0.0</v>
      </c>
      <c r="L176" s="7">
        <v>0.9395041006</v>
      </c>
      <c r="M176" s="7">
        <v>0.0</v>
      </c>
      <c r="N176" s="7">
        <v>99.25827766</v>
      </c>
      <c r="O176" s="7">
        <v>0.0</v>
      </c>
      <c r="P176" s="7">
        <v>0.7417223371</v>
      </c>
      <c r="Q176" s="7">
        <v>0.0</v>
      </c>
      <c r="R176" s="8">
        <f t="shared" si="4"/>
        <v>17</v>
      </c>
      <c r="S176" s="8">
        <f t="shared" si="60"/>
        <v>37742156.25</v>
      </c>
      <c r="T176" s="8">
        <f t="shared" si="61"/>
        <v>30783259.02</v>
      </c>
      <c r="U176" s="8">
        <f t="shared" si="7"/>
        <v>6958897.226</v>
      </c>
      <c r="V176" s="8">
        <f t="shared" ref="V176:W176" si="363">T176/1000</f>
        <v>30783.25902</v>
      </c>
      <c r="W176" s="8">
        <f t="shared" si="363"/>
        <v>6958.897226</v>
      </c>
      <c r="X176" s="8">
        <f t="shared" si="9"/>
        <v>18.43799591</v>
      </c>
      <c r="Y176" s="8">
        <f t="shared" si="10"/>
        <v>82</v>
      </c>
      <c r="Z176" s="8">
        <f t="shared" si="11"/>
        <v>19</v>
      </c>
      <c r="AA176" s="8">
        <f t="shared" si="12"/>
        <v>38</v>
      </c>
      <c r="AB176" s="8">
        <f t="shared" ref="AB176:AC176" si="364">ROUNDUP(V176/1000,0)</f>
        <v>31</v>
      </c>
      <c r="AC176" s="8">
        <f t="shared" si="364"/>
        <v>7</v>
      </c>
      <c r="AD176" s="8">
        <f t="shared" si="188"/>
        <v>99</v>
      </c>
      <c r="AE176" s="8">
        <f t="shared" si="15"/>
        <v>1</v>
      </c>
    </row>
    <row r="177" ht="22.5" customHeight="1">
      <c r="A177" s="7" t="s">
        <v>237</v>
      </c>
      <c r="B177" s="7" t="s">
        <v>44</v>
      </c>
      <c r="C177" s="7">
        <f t="shared" si="3"/>
        <v>4</v>
      </c>
      <c r="D177" s="7">
        <v>37846.60547</v>
      </c>
      <c r="E177" s="7">
        <v>60.04300308</v>
      </c>
      <c r="F177" s="7">
        <v>99.96659155</v>
      </c>
      <c r="G177" s="7">
        <v>0.0</v>
      </c>
      <c r="H177" s="7">
        <v>0.03340844529</v>
      </c>
      <c r="I177" s="7">
        <v>0.0</v>
      </c>
      <c r="J177" s="7">
        <v>100.0</v>
      </c>
      <c r="K177" s="7">
        <v>0.0</v>
      </c>
      <c r="L177" s="7">
        <v>0.0</v>
      </c>
      <c r="M177" s="7">
        <v>0.0</v>
      </c>
      <c r="N177" s="7">
        <v>99.94435484</v>
      </c>
      <c r="O177" s="7">
        <v>0.0</v>
      </c>
      <c r="P177" s="7">
        <v>0.05564516129</v>
      </c>
      <c r="Q177" s="7">
        <v>0.0</v>
      </c>
      <c r="R177" s="8">
        <f t="shared" si="4"/>
        <v>17</v>
      </c>
      <c r="S177" s="8">
        <f t="shared" si="60"/>
        <v>37846605.47</v>
      </c>
      <c r="T177" s="8">
        <f t="shared" si="61"/>
        <v>22724238.49</v>
      </c>
      <c r="U177" s="8">
        <f t="shared" si="7"/>
        <v>15122366.98</v>
      </c>
      <c r="V177" s="8">
        <f t="shared" ref="V177:W177" si="365">T177/1000</f>
        <v>22724.23849</v>
      </c>
      <c r="W177" s="8">
        <f t="shared" si="365"/>
        <v>15122.36698</v>
      </c>
      <c r="X177" s="8">
        <f t="shared" si="9"/>
        <v>39.95699692</v>
      </c>
      <c r="Y177" s="8">
        <f t="shared" si="10"/>
        <v>61</v>
      </c>
      <c r="Z177" s="8">
        <f t="shared" si="11"/>
        <v>40</v>
      </c>
      <c r="AA177" s="8">
        <f t="shared" si="12"/>
        <v>38</v>
      </c>
      <c r="AB177" s="8">
        <f t="shared" ref="AB177:AC177" si="366">ROUNDUP(V177/1000,0)</f>
        <v>23</v>
      </c>
      <c r="AC177" s="8">
        <f t="shared" si="366"/>
        <v>16</v>
      </c>
      <c r="AD177" s="8">
        <f t="shared" si="188"/>
        <v>100</v>
      </c>
      <c r="AE177" s="8">
        <f t="shared" si="15"/>
        <v>1</v>
      </c>
    </row>
    <row r="178" ht="22.5" customHeight="1">
      <c r="A178" s="7" t="s">
        <v>238</v>
      </c>
      <c r="B178" s="7" t="s">
        <v>118</v>
      </c>
      <c r="C178" s="7">
        <f t="shared" si="3"/>
        <v>1</v>
      </c>
      <c r="D178" s="7">
        <v>38928.33984</v>
      </c>
      <c r="E178" s="7">
        <v>26.02599907</v>
      </c>
      <c r="F178" s="7">
        <v>75.09141325</v>
      </c>
      <c r="G178" s="7">
        <v>1.447541688</v>
      </c>
      <c r="H178" s="7">
        <v>14.56026288</v>
      </c>
      <c r="I178" s="7">
        <v>8.900782174</v>
      </c>
      <c r="J178" s="7">
        <v>66.32791521</v>
      </c>
      <c r="K178" s="7">
        <v>1.956824851</v>
      </c>
      <c r="L178" s="7">
        <v>19.68294895</v>
      </c>
      <c r="M178" s="7">
        <v>12.03231098</v>
      </c>
      <c r="N178" s="7">
        <v>100.0</v>
      </c>
      <c r="O178" s="7">
        <v>0.0</v>
      </c>
      <c r="P178" s="7">
        <v>0.0</v>
      </c>
      <c r="Q178" s="7">
        <v>0.0</v>
      </c>
      <c r="R178" s="8">
        <f t="shared" si="4"/>
        <v>17</v>
      </c>
      <c r="S178" s="8">
        <f t="shared" si="60"/>
        <v>38928339.84</v>
      </c>
      <c r="T178" s="8">
        <f t="shared" si="61"/>
        <v>10131489.36</v>
      </c>
      <c r="U178" s="8">
        <f t="shared" si="7"/>
        <v>28796850.48</v>
      </c>
      <c r="V178" s="8">
        <f t="shared" ref="V178:W178" si="367">T178/1000</f>
        <v>10131.48936</v>
      </c>
      <c r="W178" s="8">
        <f t="shared" si="367"/>
        <v>28796.85048</v>
      </c>
      <c r="X178" s="8">
        <f t="shared" si="9"/>
        <v>73.97400093</v>
      </c>
      <c r="Y178" s="8">
        <f t="shared" si="10"/>
        <v>27</v>
      </c>
      <c r="Z178" s="8">
        <f t="shared" si="11"/>
        <v>74</v>
      </c>
      <c r="AA178" s="8">
        <f t="shared" si="12"/>
        <v>39</v>
      </c>
      <c r="AB178" s="8">
        <f t="shared" ref="AB178:AC178" si="368">ROUNDUP(V178/1000,0)</f>
        <v>11</v>
      </c>
      <c r="AC178" s="8">
        <f t="shared" si="368"/>
        <v>29</v>
      </c>
      <c r="AD178" s="8">
        <f t="shared" si="188"/>
        <v>75</v>
      </c>
      <c r="AE178" s="8">
        <f t="shared" si="15"/>
        <v>1</v>
      </c>
    </row>
    <row r="179" ht="22.5" customHeight="1">
      <c r="A179" s="7" t="s">
        <v>239</v>
      </c>
      <c r="B179" s="7" t="s">
        <v>47</v>
      </c>
      <c r="C179" s="7">
        <f t="shared" si="3"/>
        <v>3</v>
      </c>
      <c r="D179" s="7">
        <v>40222.50391</v>
      </c>
      <c r="E179" s="7">
        <v>70.89299774</v>
      </c>
      <c r="F179" s="7">
        <v>98.35990325</v>
      </c>
      <c r="G179" s="7">
        <v>0.8921603495</v>
      </c>
      <c r="H179" s="7">
        <v>2.427900808E-6</v>
      </c>
      <c r="I179" s="7">
        <v>0.7479339713</v>
      </c>
      <c r="J179" s="7">
        <v>94.83114678</v>
      </c>
      <c r="K179" s="7">
        <v>2.599251339</v>
      </c>
      <c r="L179" s="7">
        <v>0.0</v>
      </c>
      <c r="M179" s="7">
        <v>2.569601877</v>
      </c>
      <c r="N179" s="7">
        <v>99.80873103</v>
      </c>
      <c r="O179" s="7">
        <v>0.19126897</v>
      </c>
      <c r="P179" s="7">
        <v>0.0</v>
      </c>
      <c r="Q179" s="7">
        <v>0.0</v>
      </c>
      <c r="R179" s="8">
        <f t="shared" si="4"/>
        <v>17</v>
      </c>
      <c r="S179" s="8">
        <f t="shared" si="60"/>
        <v>40222503.91</v>
      </c>
      <c r="T179" s="8">
        <f t="shared" si="61"/>
        <v>28514938.79</v>
      </c>
      <c r="U179" s="8">
        <f t="shared" si="7"/>
        <v>11707565.12</v>
      </c>
      <c r="V179" s="8">
        <f t="shared" ref="V179:W179" si="369">T179/1000</f>
        <v>28514.93879</v>
      </c>
      <c r="W179" s="8">
        <f t="shared" si="369"/>
        <v>11707.56512</v>
      </c>
      <c r="X179" s="8">
        <f t="shared" si="9"/>
        <v>29.10700226</v>
      </c>
      <c r="Y179" s="8">
        <f t="shared" si="10"/>
        <v>71</v>
      </c>
      <c r="Z179" s="8">
        <f t="shared" si="11"/>
        <v>30</v>
      </c>
      <c r="AA179" s="8">
        <f t="shared" si="12"/>
        <v>41</v>
      </c>
      <c r="AB179" s="8">
        <f t="shared" ref="AB179:AC179" si="370">ROUNDUP(V179/1000,0)</f>
        <v>29</v>
      </c>
      <c r="AC179" s="8">
        <f t="shared" si="370"/>
        <v>12</v>
      </c>
      <c r="AD179" s="8">
        <f t="shared" si="188"/>
        <v>98</v>
      </c>
      <c r="AE179" s="8">
        <f t="shared" si="15"/>
        <v>1</v>
      </c>
    </row>
    <row r="180" ht="22.5" customHeight="1">
      <c r="A180" s="7" t="s">
        <v>240</v>
      </c>
      <c r="B180" s="7" t="s">
        <v>67</v>
      </c>
      <c r="C180" s="7">
        <f t="shared" si="3"/>
        <v>2</v>
      </c>
      <c r="D180" s="7">
        <v>43733.75781</v>
      </c>
      <c r="E180" s="7">
        <v>69.60800171</v>
      </c>
      <c r="F180" s="7">
        <v>93.92828195</v>
      </c>
      <c r="G180" s="7">
        <v>5.671978717</v>
      </c>
      <c r="H180" s="7">
        <v>0.07590450129</v>
      </c>
      <c r="I180" s="7">
        <v>0.323834836</v>
      </c>
      <c r="J180" s="7">
        <v>100.0</v>
      </c>
      <c r="K180" s="7">
        <v>0.0</v>
      </c>
      <c r="L180" s="7">
        <v>0.0</v>
      </c>
      <c r="M180" s="7">
        <v>0.0</v>
      </c>
      <c r="N180" s="7">
        <v>91.27727011</v>
      </c>
      <c r="O180" s="7">
        <v>8.14845779</v>
      </c>
      <c r="P180" s="7">
        <v>0.1090456533</v>
      </c>
      <c r="Q180" s="7">
        <v>0.4652264446</v>
      </c>
      <c r="R180" s="8">
        <f t="shared" si="4"/>
        <v>17</v>
      </c>
      <c r="S180" s="8">
        <f t="shared" si="60"/>
        <v>43733757.81</v>
      </c>
      <c r="T180" s="8">
        <f t="shared" si="61"/>
        <v>30442194.88</v>
      </c>
      <c r="U180" s="8">
        <f t="shared" si="7"/>
        <v>13291562.93</v>
      </c>
      <c r="V180" s="8">
        <f t="shared" ref="V180:W180" si="371">T180/1000</f>
        <v>30442.19488</v>
      </c>
      <c r="W180" s="8">
        <f t="shared" si="371"/>
        <v>13291.56293</v>
      </c>
      <c r="X180" s="8">
        <f t="shared" si="9"/>
        <v>30.39199829</v>
      </c>
      <c r="Y180" s="8">
        <f t="shared" si="10"/>
        <v>70</v>
      </c>
      <c r="Z180" s="8">
        <f t="shared" si="11"/>
        <v>31</v>
      </c>
      <c r="AA180" s="8">
        <f t="shared" si="12"/>
        <v>44</v>
      </c>
      <c r="AB180" s="8">
        <f t="shared" ref="AB180:AC180" si="372">ROUNDUP(V180/1000,0)</f>
        <v>31</v>
      </c>
      <c r="AC180" s="8">
        <f t="shared" si="372"/>
        <v>14</v>
      </c>
      <c r="AD180" s="8">
        <f t="shared" si="188"/>
        <v>94</v>
      </c>
      <c r="AE180" s="8">
        <f t="shared" si="15"/>
        <v>1</v>
      </c>
    </row>
    <row r="181" ht="22.5" customHeight="1">
      <c r="A181" s="7" t="s">
        <v>241</v>
      </c>
      <c r="B181" s="7" t="s">
        <v>118</v>
      </c>
      <c r="C181" s="7">
        <f t="shared" si="3"/>
        <v>1</v>
      </c>
      <c r="D181" s="7">
        <v>43849.26953</v>
      </c>
      <c r="E181" s="7">
        <v>35.25299835</v>
      </c>
      <c r="F181" s="7">
        <v>60.4486756</v>
      </c>
      <c r="G181" s="7">
        <v>26.67001975</v>
      </c>
      <c r="H181" s="7">
        <v>3.650217875</v>
      </c>
      <c r="I181" s="7">
        <v>9.231086774</v>
      </c>
      <c r="J181" s="7">
        <v>53.19902707</v>
      </c>
      <c r="K181" s="7">
        <v>27.45764451</v>
      </c>
      <c r="L181" s="7">
        <v>5.637660008</v>
      </c>
      <c r="M181" s="7">
        <v>13.70566842</v>
      </c>
      <c r="N181" s="7">
        <v>73.76365956</v>
      </c>
      <c r="O181" s="7">
        <v>25.22343986</v>
      </c>
      <c r="P181" s="7">
        <v>0.0</v>
      </c>
      <c r="Q181" s="7">
        <v>1.012900581</v>
      </c>
      <c r="R181" s="8">
        <f t="shared" si="4"/>
        <v>17</v>
      </c>
      <c r="S181" s="8">
        <f t="shared" si="60"/>
        <v>43849269.53</v>
      </c>
      <c r="T181" s="8">
        <f t="shared" si="61"/>
        <v>15458182.26</v>
      </c>
      <c r="U181" s="8">
        <f t="shared" si="7"/>
        <v>28391087.27</v>
      </c>
      <c r="V181" s="8">
        <f t="shared" ref="V181:W181" si="373">T181/1000</f>
        <v>15458.18226</v>
      </c>
      <c r="W181" s="8">
        <f t="shared" si="373"/>
        <v>28391.08727</v>
      </c>
      <c r="X181" s="8">
        <f t="shared" si="9"/>
        <v>64.74700165</v>
      </c>
      <c r="Y181" s="8">
        <f t="shared" si="10"/>
        <v>36</v>
      </c>
      <c r="Z181" s="8">
        <f t="shared" si="11"/>
        <v>65</v>
      </c>
      <c r="AA181" s="8">
        <f t="shared" si="12"/>
        <v>44</v>
      </c>
      <c r="AB181" s="8">
        <f t="shared" ref="AB181:AC181" si="374">ROUNDUP(V181/1000,0)</f>
        <v>16</v>
      </c>
      <c r="AC181" s="8">
        <f t="shared" si="374"/>
        <v>29</v>
      </c>
      <c r="AD181" s="8">
        <f t="shared" si="188"/>
        <v>60</v>
      </c>
      <c r="AE181" s="8">
        <f t="shared" si="15"/>
        <v>1</v>
      </c>
    </row>
    <row r="182" ht="22.5" customHeight="1">
      <c r="A182" s="7" t="s">
        <v>242</v>
      </c>
      <c r="B182" s="7" t="s">
        <v>67</v>
      </c>
      <c r="C182" s="7">
        <f t="shared" si="3"/>
        <v>2</v>
      </c>
      <c r="D182" s="7">
        <v>43851.04297</v>
      </c>
      <c r="E182" s="7">
        <v>73.73300171</v>
      </c>
      <c r="F182" s="7">
        <v>94.43732996</v>
      </c>
      <c r="G182" s="7">
        <v>4.985880842</v>
      </c>
      <c r="H182" s="7">
        <v>0.5318366638</v>
      </c>
      <c r="I182" s="7">
        <v>0.04495253272</v>
      </c>
      <c r="J182" s="7">
        <v>90.03753791</v>
      </c>
      <c r="K182" s="7">
        <v>8.79672214</v>
      </c>
      <c r="L182" s="7">
        <v>0.9946030281</v>
      </c>
      <c r="M182" s="7">
        <v>0.1711369258</v>
      </c>
      <c r="N182" s="7">
        <v>96.00473586</v>
      </c>
      <c r="O182" s="7">
        <v>3.628288591</v>
      </c>
      <c r="P182" s="7">
        <v>0.3669755478</v>
      </c>
      <c r="Q182" s="7">
        <v>0.0</v>
      </c>
      <c r="R182" s="8">
        <f t="shared" si="4"/>
        <v>17</v>
      </c>
      <c r="S182" s="8">
        <f t="shared" si="60"/>
        <v>43851042.97</v>
      </c>
      <c r="T182" s="8">
        <f t="shared" si="61"/>
        <v>32332690.26</v>
      </c>
      <c r="U182" s="8">
        <f t="shared" si="7"/>
        <v>11518352.71</v>
      </c>
      <c r="V182" s="8">
        <f t="shared" ref="V182:W182" si="375">T182/1000</f>
        <v>32332.69026</v>
      </c>
      <c r="W182" s="8">
        <f t="shared" si="375"/>
        <v>11518.35271</v>
      </c>
      <c r="X182" s="8">
        <f t="shared" si="9"/>
        <v>26.26699829</v>
      </c>
      <c r="Y182" s="8">
        <f t="shared" si="10"/>
        <v>74</v>
      </c>
      <c r="Z182" s="8">
        <f t="shared" si="11"/>
        <v>27</v>
      </c>
      <c r="AA182" s="8">
        <f t="shared" si="12"/>
        <v>44</v>
      </c>
      <c r="AB182" s="8">
        <f t="shared" ref="AB182:AC182" si="376">ROUNDUP(V182/1000,0)</f>
        <v>33</v>
      </c>
      <c r="AC182" s="8">
        <f t="shared" si="376"/>
        <v>12</v>
      </c>
      <c r="AD182" s="8">
        <f t="shared" si="188"/>
        <v>94</v>
      </c>
      <c r="AE182" s="8">
        <f t="shared" si="15"/>
        <v>1</v>
      </c>
    </row>
    <row r="183" ht="22.5" customHeight="1">
      <c r="A183" s="7" t="s">
        <v>243</v>
      </c>
      <c r="B183" s="7" t="s">
        <v>47</v>
      </c>
      <c r="C183" s="7">
        <f t="shared" si="3"/>
        <v>3</v>
      </c>
      <c r="D183" s="7">
        <v>45195.77734</v>
      </c>
      <c r="E183" s="7">
        <v>92.11100006</v>
      </c>
      <c r="F183" s="7" t="s">
        <v>36</v>
      </c>
      <c r="G183" s="7" t="s">
        <v>36</v>
      </c>
      <c r="H183" s="7" t="s">
        <v>36</v>
      </c>
      <c r="I183" s="7" t="s">
        <v>36</v>
      </c>
      <c r="J183" s="7" t="s">
        <v>36</v>
      </c>
      <c r="K183" s="7" t="s">
        <v>36</v>
      </c>
      <c r="L183" s="7" t="s">
        <v>36</v>
      </c>
      <c r="M183" s="7" t="s">
        <v>36</v>
      </c>
      <c r="N183" s="7">
        <v>99.79042065</v>
      </c>
      <c r="O183" s="7">
        <v>0.0</v>
      </c>
      <c r="P183" s="7">
        <v>0.2095793501</v>
      </c>
      <c r="Q183" s="7">
        <v>0.0</v>
      </c>
      <c r="R183" s="8">
        <f t="shared" si="4"/>
        <v>17</v>
      </c>
      <c r="S183" s="8">
        <f t="shared" si="60"/>
        <v>45195777.34</v>
      </c>
      <c r="T183" s="8">
        <f t="shared" si="61"/>
        <v>41630282.49</v>
      </c>
      <c r="U183" s="8">
        <f t="shared" si="7"/>
        <v>3565494.847</v>
      </c>
      <c r="V183" s="8">
        <f t="shared" ref="V183:W183" si="377">T183/1000</f>
        <v>41630.28249</v>
      </c>
      <c r="W183" s="8">
        <f t="shared" si="377"/>
        <v>3565.494847</v>
      </c>
      <c r="X183" s="8">
        <f t="shared" si="9"/>
        <v>7.88899994</v>
      </c>
      <c r="Y183" s="8">
        <f t="shared" si="10"/>
        <v>93</v>
      </c>
      <c r="Z183" s="8">
        <f t="shared" si="11"/>
        <v>8</v>
      </c>
      <c r="AA183" s="8">
        <f t="shared" si="12"/>
        <v>46</v>
      </c>
      <c r="AB183" s="8">
        <f t="shared" ref="AB183:AC183" si="378">ROUNDUP(V183/1000,0)</f>
        <v>42</v>
      </c>
      <c r="AC183" s="8">
        <f t="shared" si="378"/>
        <v>4</v>
      </c>
      <c r="AD183" s="7" t="s">
        <v>36</v>
      </c>
      <c r="AE183" s="8">
        <f t="shared" si="15"/>
        <v>1</v>
      </c>
    </row>
    <row r="184" ht="22.5" customHeight="1">
      <c r="A184" s="7" t="s">
        <v>244</v>
      </c>
      <c r="B184" s="7" t="s">
        <v>118</v>
      </c>
      <c r="C184" s="7">
        <f t="shared" si="3"/>
        <v>1</v>
      </c>
      <c r="D184" s="7">
        <v>45741.0</v>
      </c>
      <c r="E184" s="7">
        <v>24.95400047</v>
      </c>
      <c r="F184" s="7">
        <v>55.85504921</v>
      </c>
      <c r="G184" s="7">
        <v>27.28286</v>
      </c>
      <c r="H184" s="7">
        <v>12.16590654</v>
      </c>
      <c r="I184" s="7">
        <v>4.696184252</v>
      </c>
      <c r="J184" s="7">
        <v>48.23118958</v>
      </c>
      <c r="K184" s="7">
        <v>31.78469426</v>
      </c>
      <c r="L184" s="7">
        <v>14.07616061</v>
      </c>
      <c r="M184" s="7">
        <v>5.907955546</v>
      </c>
      <c r="N184" s="7">
        <v>78.7828518</v>
      </c>
      <c r="O184" s="7">
        <v>13.74416783</v>
      </c>
      <c r="P184" s="7">
        <v>6.421044133</v>
      </c>
      <c r="Q184" s="7">
        <v>1.051936238</v>
      </c>
      <c r="R184" s="8">
        <f t="shared" si="4"/>
        <v>17</v>
      </c>
      <c r="S184" s="8">
        <f t="shared" si="60"/>
        <v>45741000</v>
      </c>
      <c r="T184" s="8">
        <f t="shared" si="61"/>
        <v>11414209.35</v>
      </c>
      <c r="U184" s="8">
        <f t="shared" si="7"/>
        <v>34326790.65</v>
      </c>
      <c r="V184" s="8">
        <f t="shared" ref="V184:W184" si="379">T184/1000</f>
        <v>11414.20935</v>
      </c>
      <c r="W184" s="8">
        <f t="shared" si="379"/>
        <v>34326.79065</v>
      </c>
      <c r="X184" s="8">
        <f t="shared" si="9"/>
        <v>75.04599953</v>
      </c>
      <c r="Y184" s="8">
        <f t="shared" si="10"/>
        <v>25</v>
      </c>
      <c r="Z184" s="8">
        <f t="shared" si="11"/>
        <v>76</v>
      </c>
      <c r="AA184" s="8">
        <f t="shared" si="12"/>
        <v>46</v>
      </c>
      <c r="AB184" s="8">
        <f t="shared" ref="AB184:AC184" si="380">ROUNDUP(V184/1000,0)</f>
        <v>12</v>
      </c>
      <c r="AC184" s="8">
        <f t="shared" si="380"/>
        <v>35</v>
      </c>
      <c r="AD184" s="8">
        <f t="shared" ref="AD184:AD214" si="383">ROUND(F184,0)</f>
        <v>56</v>
      </c>
      <c r="AE184" s="8">
        <f t="shared" si="15"/>
        <v>1</v>
      </c>
    </row>
    <row r="185" ht="22.5" customHeight="1">
      <c r="A185" s="7" t="s">
        <v>245</v>
      </c>
      <c r="B185" s="7" t="s">
        <v>44</v>
      </c>
      <c r="C185" s="7">
        <f t="shared" si="3"/>
        <v>4</v>
      </c>
      <c r="D185" s="7">
        <v>46754.78125</v>
      </c>
      <c r="E185" s="7">
        <v>80.80999756</v>
      </c>
      <c r="F185" s="7">
        <v>99.92561261</v>
      </c>
      <c r="G185" s="7">
        <v>0.0</v>
      </c>
      <c r="H185" s="7">
        <v>0.07438739142</v>
      </c>
      <c r="I185" s="7">
        <v>0.0</v>
      </c>
      <c r="J185" s="7">
        <v>100.0</v>
      </c>
      <c r="K185" s="7">
        <v>0.0</v>
      </c>
      <c r="L185" s="7">
        <v>0.0</v>
      </c>
      <c r="M185" s="7">
        <v>0.0</v>
      </c>
      <c r="N185" s="7">
        <v>99.90794521</v>
      </c>
      <c r="O185" s="7">
        <v>0.0</v>
      </c>
      <c r="P185" s="7">
        <v>0.09205479452</v>
      </c>
      <c r="Q185" s="7">
        <v>0.0</v>
      </c>
      <c r="R185" s="8">
        <f t="shared" si="4"/>
        <v>17</v>
      </c>
      <c r="S185" s="8">
        <f t="shared" si="60"/>
        <v>46754781.25</v>
      </c>
      <c r="T185" s="8">
        <f t="shared" si="61"/>
        <v>37782537.59</v>
      </c>
      <c r="U185" s="8">
        <f t="shared" si="7"/>
        <v>8972243.663</v>
      </c>
      <c r="V185" s="8">
        <f t="shared" ref="V185:W185" si="381">T185/1000</f>
        <v>37782.53759</v>
      </c>
      <c r="W185" s="8">
        <f t="shared" si="381"/>
        <v>8972.243663</v>
      </c>
      <c r="X185" s="8">
        <f t="shared" si="9"/>
        <v>19.19000244</v>
      </c>
      <c r="Y185" s="8">
        <f t="shared" si="10"/>
        <v>81</v>
      </c>
      <c r="Z185" s="8">
        <f t="shared" si="11"/>
        <v>20</v>
      </c>
      <c r="AA185" s="8">
        <f t="shared" si="12"/>
        <v>47</v>
      </c>
      <c r="AB185" s="8">
        <f t="shared" ref="AB185:AC185" si="382">ROUNDUP(V185/1000,0)</f>
        <v>38</v>
      </c>
      <c r="AC185" s="8">
        <f t="shared" si="382"/>
        <v>9</v>
      </c>
      <c r="AD185" s="8">
        <f t="shared" si="383"/>
        <v>100</v>
      </c>
      <c r="AE185" s="8">
        <f t="shared" si="15"/>
        <v>1</v>
      </c>
    </row>
    <row r="186" ht="22.5" customHeight="1">
      <c r="A186" s="7" t="s">
        <v>246</v>
      </c>
      <c r="B186" s="7" t="s">
        <v>47</v>
      </c>
      <c r="C186" s="7">
        <f t="shared" si="3"/>
        <v>3</v>
      </c>
      <c r="D186" s="7">
        <v>50882.88281</v>
      </c>
      <c r="E186" s="7">
        <v>81.42499542</v>
      </c>
      <c r="F186" s="7">
        <v>97.49165711</v>
      </c>
      <c r="G186" s="7">
        <v>0.1861521591</v>
      </c>
      <c r="H186" s="7">
        <v>0.9536162228</v>
      </c>
      <c r="I186" s="7">
        <v>1.368574512</v>
      </c>
      <c r="J186" s="7">
        <v>86.76707282</v>
      </c>
      <c r="K186" s="7">
        <v>0.7312282016</v>
      </c>
      <c r="L186" s="7">
        <v>5.13386897</v>
      </c>
      <c r="M186" s="7">
        <v>7.367830005</v>
      </c>
      <c r="N186" s="7">
        <v>99.9381928</v>
      </c>
      <c r="O186" s="7">
        <v>0.0618072</v>
      </c>
      <c r="P186" s="7">
        <v>0.0</v>
      </c>
      <c r="Q186" s="7">
        <v>0.0</v>
      </c>
      <c r="R186" s="8">
        <f t="shared" si="4"/>
        <v>17</v>
      </c>
      <c r="S186" s="8">
        <f t="shared" si="60"/>
        <v>50882882.81</v>
      </c>
      <c r="T186" s="8">
        <f t="shared" si="61"/>
        <v>41431385</v>
      </c>
      <c r="U186" s="8">
        <f t="shared" si="7"/>
        <v>9451497.812</v>
      </c>
      <c r="V186" s="8">
        <f t="shared" ref="V186:W186" si="384">T186/1000</f>
        <v>41431.385</v>
      </c>
      <c r="W186" s="8">
        <f t="shared" si="384"/>
        <v>9451.497812</v>
      </c>
      <c r="X186" s="8">
        <f t="shared" si="9"/>
        <v>18.57500458</v>
      </c>
      <c r="Y186" s="8">
        <f t="shared" si="10"/>
        <v>82</v>
      </c>
      <c r="Z186" s="8">
        <f t="shared" si="11"/>
        <v>19</v>
      </c>
      <c r="AA186" s="8">
        <f t="shared" si="12"/>
        <v>51</v>
      </c>
      <c r="AB186" s="8">
        <f t="shared" ref="AB186:AC186" si="385">ROUNDUP(V186/1000,0)</f>
        <v>42</v>
      </c>
      <c r="AC186" s="8">
        <f t="shared" si="385"/>
        <v>10</v>
      </c>
      <c r="AD186" s="8">
        <f t="shared" si="383"/>
        <v>97</v>
      </c>
      <c r="AE186" s="8">
        <f t="shared" si="15"/>
        <v>1</v>
      </c>
    </row>
    <row r="187" ht="22.5" customHeight="1">
      <c r="A187" s="7" t="s">
        <v>247</v>
      </c>
      <c r="B187" s="7" t="s">
        <v>44</v>
      </c>
      <c r="C187" s="7">
        <f t="shared" si="3"/>
        <v>4</v>
      </c>
      <c r="D187" s="7">
        <v>51269.18359</v>
      </c>
      <c r="E187" s="7">
        <v>81.41400146</v>
      </c>
      <c r="F187" s="7">
        <v>99.93139665</v>
      </c>
      <c r="G187" s="7">
        <v>0.0</v>
      </c>
      <c r="H187" s="7">
        <v>0.06860335296</v>
      </c>
      <c r="I187" s="7">
        <v>0.0</v>
      </c>
      <c r="J187" s="7" t="s">
        <v>36</v>
      </c>
      <c r="K187" s="7" t="s">
        <v>36</v>
      </c>
      <c r="L187" s="7" t="s">
        <v>36</v>
      </c>
      <c r="M187" s="7" t="s">
        <v>36</v>
      </c>
      <c r="N187" s="7" t="s">
        <v>36</v>
      </c>
      <c r="O187" s="7" t="s">
        <v>36</v>
      </c>
      <c r="P187" s="7" t="s">
        <v>36</v>
      </c>
      <c r="Q187" s="7" t="s">
        <v>36</v>
      </c>
      <c r="R187" s="8">
        <f t="shared" si="4"/>
        <v>17</v>
      </c>
      <c r="S187" s="8">
        <f t="shared" si="60"/>
        <v>51269183.59</v>
      </c>
      <c r="T187" s="8">
        <f t="shared" si="61"/>
        <v>41740293.88</v>
      </c>
      <c r="U187" s="8">
        <f t="shared" si="7"/>
        <v>9528889.714</v>
      </c>
      <c r="V187" s="8">
        <f t="shared" ref="V187:W187" si="386">T187/1000</f>
        <v>41740.29388</v>
      </c>
      <c r="W187" s="8">
        <f t="shared" si="386"/>
        <v>9528.889714</v>
      </c>
      <c r="X187" s="8">
        <f t="shared" si="9"/>
        <v>18.58599854</v>
      </c>
      <c r="Y187" s="8">
        <f t="shared" si="10"/>
        <v>82</v>
      </c>
      <c r="Z187" s="8">
        <f t="shared" si="11"/>
        <v>19</v>
      </c>
      <c r="AA187" s="8">
        <f t="shared" si="12"/>
        <v>52</v>
      </c>
      <c r="AB187" s="8">
        <f t="shared" ref="AB187:AC187" si="387">ROUNDUP(V187/1000,0)</f>
        <v>42</v>
      </c>
      <c r="AC187" s="8">
        <f t="shared" si="387"/>
        <v>10</v>
      </c>
      <c r="AD187" s="8">
        <f t="shared" si="383"/>
        <v>100</v>
      </c>
      <c r="AE187" s="8">
        <f t="shared" si="15"/>
        <v>1</v>
      </c>
    </row>
    <row r="188" ht="22.5" customHeight="1">
      <c r="A188" s="7" t="s">
        <v>248</v>
      </c>
      <c r="B188" s="7" t="s">
        <v>67</v>
      </c>
      <c r="C188" s="7">
        <f t="shared" si="3"/>
        <v>2</v>
      </c>
      <c r="D188" s="7">
        <v>53771.30078</v>
      </c>
      <c r="E188" s="7">
        <v>27.99499893</v>
      </c>
      <c r="F188" s="7">
        <v>61.63289158</v>
      </c>
      <c r="G188" s="7">
        <v>9.54187005</v>
      </c>
      <c r="H188" s="7">
        <v>9.780087524</v>
      </c>
      <c r="I188" s="7">
        <v>19.04515084</v>
      </c>
      <c r="J188" s="7">
        <v>51.77997893</v>
      </c>
      <c r="K188" s="7">
        <v>11.56900419</v>
      </c>
      <c r="L188" s="7">
        <v>12.51911322</v>
      </c>
      <c r="M188" s="7">
        <v>24.13190366</v>
      </c>
      <c r="N188" s="7">
        <v>86.97523145</v>
      </c>
      <c r="O188" s="7">
        <v>4.327944725</v>
      </c>
      <c r="P188" s="7">
        <v>2.73514263</v>
      </c>
      <c r="Q188" s="7">
        <v>5.961681193</v>
      </c>
      <c r="R188" s="8">
        <f t="shared" si="4"/>
        <v>17</v>
      </c>
      <c r="S188" s="8">
        <f t="shared" si="60"/>
        <v>53771300.78</v>
      </c>
      <c r="T188" s="8">
        <f t="shared" si="61"/>
        <v>15053275.08</v>
      </c>
      <c r="U188" s="8">
        <f t="shared" si="7"/>
        <v>38718025.7</v>
      </c>
      <c r="V188" s="8">
        <f t="shared" ref="V188:W188" si="388">T188/1000</f>
        <v>15053.27508</v>
      </c>
      <c r="W188" s="8">
        <f t="shared" si="388"/>
        <v>38718.0257</v>
      </c>
      <c r="X188" s="8">
        <f t="shared" si="9"/>
        <v>72.00500107</v>
      </c>
      <c r="Y188" s="8">
        <f t="shared" si="10"/>
        <v>28</v>
      </c>
      <c r="Z188" s="8">
        <f t="shared" si="11"/>
        <v>73</v>
      </c>
      <c r="AA188" s="8">
        <f t="shared" si="12"/>
        <v>54</v>
      </c>
      <c r="AB188" s="8">
        <f t="shared" ref="AB188:AC188" si="389">ROUNDUP(V188/1000,0)</f>
        <v>16</v>
      </c>
      <c r="AC188" s="8">
        <f t="shared" si="389"/>
        <v>39</v>
      </c>
      <c r="AD188" s="8">
        <f t="shared" si="383"/>
        <v>62</v>
      </c>
      <c r="AE188" s="8">
        <f t="shared" si="15"/>
        <v>1</v>
      </c>
    </row>
    <row r="189" ht="22.5" customHeight="1">
      <c r="A189" s="7" t="s">
        <v>249</v>
      </c>
      <c r="B189" s="7" t="s">
        <v>67</v>
      </c>
      <c r="C189" s="7">
        <f t="shared" si="3"/>
        <v>2</v>
      </c>
      <c r="D189" s="7">
        <v>54409.79297</v>
      </c>
      <c r="E189" s="7">
        <v>31.14100075</v>
      </c>
      <c r="F189" s="7">
        <v>83.71819191</v>
      </c>
      <c r="G189" s="7">
        <v>1.595436949</v>
      </c>
      <c r="H189" s="7">
        <v>5.10942478</v>
      </c>
      <c r="I189" s="7">
        <v>9.576946362</v>
      </c>
      <c r="J189" s="7">
        <v>78.42256469</v>
      </c>
      <c r="K189" s="7">
        <v>2.316962142</v>
      </c>
      <c r="L189" s="7">
        <v>6.592393694</v>
      </c>
      <c r="M189" s="7">
        <v>12.66807947</v>
      </c>
      <c r="N189" s="7">
        <v>95.42788606</v>
      </c>
      <c r="O189" s="7">
        <v>0.0</v>
      </c>
      <c r="P189" s="7">
        <v>1.830283006</v>
      </c>
      <c r="Q189" s="7">
        <v>2.741830931</v>
      </c>
      <c r="R189" s="8">
        <f t="shared" si="4"/>
        <v>17</v>
      </c>
      <c r="S189" s="8">
        <f t="shared" si="60"/>
        <v>54409792.97</v>
      </c>
      <c r="T189" s="8">
        <f t="shared" si="61"/>
        <v>16943754.04</v>
      </c>
      <c r="U189" s="8">
        <f t="shared" si="7"/>
        <v>37466038.93</v>
      </c>
      <c r="V189" s="8">
        <f t="shared" ref="V189:W189" si="390">T189/1000</f>
        <v>16943.75404</v>
      </c>
      <c r="W189" s="8">
        <f t="shared" si="390"/>
        <v>37466.03893</v>
      </c>
      <c r="X189" s="8">
        <f t="shared" si="9"/>
        <v>68.85899925</v>
      </c>
      <c r="Y189" s="8">
        <f t="shared" si="10"/>
        <v>32</v>
      </c>
      <c r="Z189" s="8">
        <f t="shared" si="11"/>
        <v>69</v>
      </c>
      <c r="AA189" s="8">
        <f t="shared" si="12"/>
        <v>55</v>
      </c>
      <c r="AB189" s="8">
        <f t="shared" ref="AB189:AC189" si="391">ROUNDUP(V189/1000,0)</f>
        <v>17</v>
      </c>
      <c r="AC189" s="8">
        <f t="shared" si="391"/>
        <v>38</v>
      </c>
      <c r="AD189" s="8">
        <f t="shared" si="383"/>
        <v>84</v>
      </c>
      <c r="AE189" s="8">
        <f t="shared" si="15"/>
        <v>1</v>
      </c>
    </row>
    <row r="190" ht="22.5" customHeight="1">
      <c r="A190" s="7" t="s">
        <v>250</v>
      </c>
      <c r="B190" s="7" t="s">
        <v>47</v>
      </c>
      <c r="C190" s="7">
        <f t="shared" si="3"/>
        <v>3</v>
      </c>
      <c r="D190" s="7">
        <v>59308.69141</v>
      </c>
      <c r="E190" s="7">
        <v>67.35400391</v>
      </c>
      <c r="F190" s="7">
        <v>93.88505744</v>
      </c>
      <c r="G190" s="7">
        <v>2.772736186</v>
      </c>
      <c r="H190" s="7">
        <v>1.410816657</v>
      </c>
      <c r="I190" s="7">
        <v>1.931389712</v>
      </c>
      <c r="J190" s="7">
        <v>83.32948118</v>
      </c>
      <c r="K190" s="7">
        <v>6.977359359</v>
      </c>
      <c r="L190" s="7">
        <v>3.776999287</v>
      </c>
      <c r="M190" s="7">
        <v>5.916160173</v>
      </c>
      <c r="N190" s="7">
        <v>99.00126484</v>
      </c>
      <c r="O190" s="7">
        <v>0.734785403</v>
      </c>
      <c r="P190" s="7">
        <v>0.2639497547</v>
      </c>
      <c r="Q190" s="7">
        <v>0.0</v>
      </c>
      <c r="R190" s="8">
        <f t="shared" si="4"/>
        <v>17</v>
      </c>
      <c r="S190" s="8">
        <f t="shared" si="60"/>
        <v>59308691.41</v>
      </c>
      <c r="T190" s="8">
        <f t="shared" si="61"/>
        <v>39946778.33</v>
      </c>
      <c r="U190" s="8">
        <f t="shared" si="7"/>
        <v>19361913.08</v>
      </c>
      <c r="V190" s="8">
        <f t="shared" ref="V190:W190" si="392">T190/1000</f>
        <v>39946.77833</v>
      </c>
      <c r="W190" s="8">
        <f t="shared" si="392"/>
        <v>19361.91308</v>
      </c>
      <c r="X190" s="8">
        <f t="shared" si="9"/>
        <v>32.64599609</v>
      </c>
      <c r="Y190" s="8">
        <f t="shared" si="10"/>
        <v>68</v>
      </c>
      <c r="Z190" s="8">
        <f t="shared" si="11"/>
        <v>33</v>
      </c>
      <c r="AA190" s="8">
        <f t="shared" si="12"/>
        <v>60</v>
      </c>
      <c r="AB190" s="8">
        <f t="shared" ref="AB190:AC190" si="393">ROUNDUP(V190/1000,0)</f>
        <v>40</v>
      </c>
      <c r="AC190" s="8">
        <f t="shared" si="393"/>
        <v>20</v>
      </c>
      <c r="AD190" s="8">
        <f t="shared" si="383"/>
        <v>94</v>
      </c>
      <c r="AE190" s="8">
        <f t="shared" si="15"/>
        <v>1</v>
      </c>
    </row>
    <row r="191" ht="22.5" customHeight="1">
      <c r="A191" s="7" t="s">
        <v>251</v>
      </c>
      <c r="B191" s="7" t="s">
        <v>67</v>
      </c>
      <c r="C191" s="7">
        <f t="shared" si="3"/>
        <v>2</v>
      </c>
      <c r="D191" s="7">
        <v>59734.21484</v>
      </c>
      <c r="E191" s="7">
        <v>35.22700119</v>
      </c>
      <c r="F191" s="7">
        <v>60.71679759</v>
      </c>
      <c r="G191" s="7">
        <v>11.29007067</v>
      </c>
      <c r="H191" s="7">
        <v>14.51775136</v>
      </c>
      <c r="I191" s="7">
        <v>13.47538038</v>
      </c>
      <c r="J191" s="7">
        <v>45.44696534</v>
      </c>
      <c r="K191" s="7">
        <v>13.98368881</v>
      </c>
      <c r="L191" s="7">
        <v>21.21996133</v>
      </c>
      <c r="M191" s="7">
        <v>19.34938452</v>
      </c>
      <c r="N191" s="7">
        <v>88.7939249</v>
      </c>
      <c r="O191" s="7">
        <v>6.337231166</v>
      </c>
      <c r="P191" s="7">
        <v>2.194178786</v>
      </c>
      <c r="Q191" s="7">
        <v>2.674665152</v>
      </c>
      <c r="R191" s="8">
        <f t="shared" si="4"/>
        <v>17</v>
      </c>
      <c r="S191" s="8">
        <f t="shared" si="60"/>
        <v>59734214.84</v>
      </c>
      <c r="T191" s="8">
        <f t="shared" si="61"/>
        <v>21042572.57</v>
      </c>
      <c r="U191" s="8">
        <f t="shared" si="7"/>
        <v>38691642.27</v>
      </c>
      <c r="V191" s="8">
        <f t="shared" ref="V191:W191" si="394">T191/1000</f>
        <v>21042.57257</v>
      </c>
      <c r="W191" s="8">
        <f t="shared" si="394"/>
        <v>38691.64227</v>
      </c>
      <c r="X191" s="8">
        <f t="shared" si="9"/>
        <v>64.77299881</v>
      </c>
      <c r="Y191" s="8">
        <f t="shared" si="10"/>
        <v>36</v>
      </c>
      <c r="Z191" s="8">
        <f t="shared" si="11"/>
        <v>65</v>
      </c>
      <c r="AA191" s="8">
        <f t="shared" si="12"/>
        <v>60</v>
      </c>
      <c r="AB191" s="8">
        <f t="shared" ref="AB191:AC191" si="395">ROUNDUP(V191/1000,0)</f>
        <v>22</v>
      </c>
      <c r="AC191" s="8">
        <f t="shared" si="395"/>
        <v>39</v>
      </c>
      <c r="AD191" s="8">
        <f t="shared" si="383"/>
        <v>61</v>
      </c>
      <c r="AE191" s="8">
        <f t="shared" si="15"/>
        <v>1</v>
      </c>
    </row>
    <row r="192" ht="22.5" customHeight="1">
      <c r="A192" s="7" t="s">
        <v>252</v>
      </c>
      <c r="B192" s="7" t="s">
        <v>44</v>
      </c>
      <c r="C192" s="7">
        <f t="shared" si="3"/>
        <v>4</v>
      </c>
      <c r="D192" s="7">
        <v>60461.82813</v>
      </c>
      <c r="E192" s="7">
        <v>71.03899384</v>
      </c>
      <c r="F192" s="7">
        <v>99.91703407</v>
      </c>
      <c r="G192" s="7">
        <v>0.0</v>
      </c>
      <c r="H192" s="7">
        <v>0.08296592591</v>
      </c>
      <c r="I192" s="7">
        <v>0.0</v>
      </c>
      <c r="J192" s="7" t="s">
        <v>36</v>
      </c>
      <c r="K192" s="7" t="s">
        <v>36</v>
      </c>
      <c r="L192" s="7" t="s">
        <v>36</v>
      </c>
      <c r="M192" s="7" t="s">
        <v>36</v>
      </c>
      <c r="N192" s="7" t="s">
        <v>36</v>
      </c>
      <c r="O192" s="7" t="s">
        <v>36</v>
      </c>
      <c r="P192" s="7" t="s">
        <v>36</v>
      </c>
      <c r="Q192" s="7" t="s">
        <v>36</v>
      </c>
      <c r="R192" s="8">
        <f t="shared" si="4"/>
        <v>17</v>
      </c>
      <c r="S192" s="8">
        <f t="shared" si="60"/>
        <v>60461828.13</v>
      </c>
      <c r="T192" s="8">
        <f t="shared" si="61"/>
        <v>42951474.36</v>
      </c>
      <c r="U192" s="8">
        <f t="shared" si="7"/>
        <v>17510353.77</v>
      </c>
      <c r="V192" s="8">
        <f t="shared" ref="V192:W192" si="396">T192/1000</f>
        <v>42951.47436</v>
      </c>
      <c r="W192" s="8">
        <f t="shared" si="396"/>
        <v>17510.35377</v>
      </c>
      <c r="X192" s="8">
        <f t="shared" si="9"/>
        <v>28.96100616</v>
      </c>
      <c r="Y192" s="8">
        <f t="shared" si="10"/>
        <v>72</v>
      </c>
      <c r="Z192" s="8">
        <f t="shared" si="11"/>
        <v>29</v>
      </c>
      <c r="AA192" s="8">
        <f t="shared" si="12"/>
        <v>61</v>
      </c>
      <c r="AB192" s="8">
        <f t="shared" ref="AB192:AC192" si="397">ROUNDUP(V192/1000,0)</f>
        <v>43</v>
      </c>
      <c r="AC192" s="8">
        <f t="shared" si="397"/>
        <v>18</v>
      </c>
      <c r="AD192" s="8">
        <f t="shared" si="383"/>
        <v>100</v>
      </c>
      <c r="AE192" s="8">
        <f t="shared" si="15"/>
        <v>1</v>
      </c>
    </row>
    <row r="193" ht="22.5" customHeight="1">
      <c r="A193" s="7" t="s">
        <v>253</v>
      </c>
      <c r="B193" s="7" t="s">
        <v>44</v>
      </c>
      <c r="C193" s="7">
        <f t="shared" si="3"/>
        <v>4</v>
      </c>
      <c r="D193" s="7">
        <v>65273.51172</v>
      </c>
      <c r="E193" s="7">
        <v>80.97499847</v>
      </c>
      <c r="F193" s="7">
        <v>99.9999985</v>
      </c>
      <c r="G193" s="7">
        <v>0.0</v>
      </c>
      <c r="H193" s="7">
        <v>1.49610841E-6</v>
      </c>
      <c r="I193" s="7">
        <v>0.0</v>
      </c>
      <c r="J193" s="7">
        <v>100.0</v>
      </c>
      <c r="K193" s="7">
        <v>0.0</v>
      </c>
      <c r="L193" s="7">
        <v>0.0</v>
      </c>
      <c r="M193" s="7">
        <v>0.0</v>
      </c>
      <c r="N193" s="7">
        <v>100.0</v>
      </c>
      <c r="O193" s="7">
        <v>0.0</v>
      </c>
      <c r="P193" s="7">
        <v>0.0</v>
      </c>
      <c r="Q193" s="7">
        <v>0.0</v>
      </c>
      <c r="R193" s="8">
        <f t="shared" si="4"/>
        <v>17</v>
      </c>
      <c r="S193" s="8">
        <f t="shared" si="60"/>
        <v>65273511.72</v>
      </c>
      <c r="T193" s="8">
        <f t="shared" si="61"/>
        <v>52855225.12</v>
      </c>
      <c r="U193" s="8">
        <f t="shared" si="7"/>
        <v>12418286.6</v>
      </c>
      <c r="V193" s="8">
        <f t="shared" ref="V193:W193" si="398">T193/1000</f>
        <v>52855.22512</v>
      </c>
      <c r="W193" s="8">
        <f t="shared" si="398"/>
        <v>12418.2866</v>
      </c>
      <c r="X193" s="8">
        <f t="shared" si="9"/>
        <v>19.02500153</v>
      </c>
      <c r="Y193" s="8">
        <f t="shared" si="10"/>
        <v>81</v>
      </c>
      <c r="Z193" s="8">
        <f t="shared" si="11"/>
        <v>20</v>
      </c>
      <c r="AA193" s="8">
        <f t="shared" si="12"/>
        <v>66</v>
      </c>
      <c r="AB193" s="8">
        <f t="shared" ref="AB193:AC193" si="399">ROUNDUP(V193/1000,0)</f>
        <v>53</v>
      </c>
      <c r="AC193" s="8">
        <f t="shared" si="399"/>
        <v>13</v>
      </c>
      <c r="AD193" s="8">
        <f t="shared" si="383"/>
        <v>100</v>
      </c>
      <c r="AE193" s="8">
        <f t="shared" si="15"/>
        <v>1</v>
      </c>
    </row>
    <row r="194" ht="22.5" customHeight="1">
      <c r="A194" s="7" t="s">
        <v>254</v>
      </c>
      <c r="B194" s="7" t="s">
        <v>44</v>
      </c>
      <c r="C194" s="7">
        <f t="shared" si="3"/>
        <v>4</v>
      </c>
      <c r="D194" s="7">
        <v>67886.00781</v>
      </c>
      <c r="E194" s="7">
        <v>83.90299988</v>
      </c>
      <c r="F194" s="7">
        <v>99.99999856</v>
      </c>
      <c r="G194" s="7">
        <v>0.0</v>
      </c>
      <c r="H194" s="7">
        <v>1.43853282E-6</v>
      </c>
      <c r="I194" s="7">
        <v>0.0</v>
      </c>
      <c r="J194" s="7">
        <v>100.0</v>
      </c>
      <c r="K194" s="7">
        <v>0.0</v>
      </c>
      <c r="L194" s="7">
        <v>0.0</v>
      </c>
      <c r="M194" s="7">
        <v>0.0</v>
      </c>
      <c r="N194" s="7">
        <v>100.0</v>
      </c>
      <c r="O194" s="7">
        <v>0.0</v>
      </c>
      <c r="P194" s="7">
        <v>0.0</v>
      </c>
      <c r="Q194" s="7">
        <v>0.0</v>
      </c>
      <c r="R194" s="8">
        <f t="shared" si="4"/>
        <v>17</v>
      </c>
      <c r="S194" s="8">
        <f t="shared" si="60"/>
        <v>67886007.81</v>
      </c>
      <c r="T194" s="8">
        <f t="shared" si="61"/>
        <v>56958397.05</v>
      </c>
      <c r="U194" s="8">
        <f t="shared" si="7"/>
        <v>10927610.76</v>
      </c>
      <c r="V194" s="8">
        <f t="shared" ref="V194:W194" si="400">T194/1000</f>
        <v>56958.39705</v>
      </c>
      <c r="W194" s="8">
        <f t="shared" si="400"/>
        <v>10927.61076</v>
      </c>
      <c r="X194" s="8">
        <f t="shared" si="9"/>
        <v>16.09700012</v>
      </c>
      <c r="Y194" s="8">
        <f t="shared" si="10"/>
        <v>84</v>
      </c>
      <c r="Z194" s="8">
        <f t="shared" si="11"/>
        <v>17</v>
      </c>
      <c r="AA194" s="8">
        <f t="shared" si="12"/>
        <v>68</v>
      </c>
      <c r="AB194" s="8">
        <f t="shared" ref="AB194:AC194" si="401">ROUNDUP(V194/1000,0)</f>
        <v>57</v>
      </c>
      <c r="AC194" s="8">
        <f t="shared" si="401"/>
        <v>11</v>
      </c>
      <c r="AD194" s="8">
        <f t="shared" si="383"/>
        <v>100</v>
      </c>
      <c r="AE194" s="8">
        <f t="shared" si="15"/>
        <v>1</v>
      </c>
    </row>
    <row r="195" ht="22.5" customHeight="1">
      <c r="A195" s="7" t="s">
        <v>255</v>
      </c>
      <c r="B195" s="7" t="s">
        <v>47</v>
      </c>
      <c r="C195" s="7">
        <f t="shared" si="3"/>
        <v>3</v>
      </c>
      <c r="D195" s="7">
        <v>69799.97656</v>
      </c>
      <c r="E195" s="7">
        <v>51.43000031</v>
      </c>
      <c r="F195" s="7">
        <v>100.0</v>
      </c>
      <c r="G195" s="7">
        <v>0.0</v>
      </c>
      <c r="H195" s="7">
        <v>0.0</v>
      </c>
      <c r="I195" s="7">
        <v>0.0</v>
      </c>
      <c r="J195" s="7">
        <v>100.0</v>
      </c>
      <c r="K195" s="7">
        <v>0.0</v>
      </c>
      <c r="L195" s="7">
        <v>0.0</v>
      </c>
      <c r="M195" s="7">
        <v>0.0</v>
      </c>
      <c r="N195" s="7">
        <v>100.0</v>
      </c>
      <c r="O195" s="7">
        <v>0.0</v>
      </c>
      <c r="P195" s="7">
        <v>0.0</v>
      </c>
      <c r="Q195" s="7">
        <v>0.0</v>
      </c>
      <c r="R195" s="8">
        <f t="shared" si="4"/>
        <v>17</v>
      </c>
      <c r="S195" s="8">
        <f t="shared" si="60"/>
        <v>69799976.56</v>
      </c>
      <c r="T195" s="8">
        <f t="shared" si="61"/>
        <v>35898128.16</v>
      </c>
      <c r="U195" s="8">
        <f t="shared" si="7"/>
        <v>33901848.4</v>
      </c>
      <c r="V195" s="8">
        <f t="shared" ref="V195:W195" si="402">T195/1000</f>
        <v>35898.12816</v>
      </c>
      <c r="W195" s="8">
        <f t="shared" si="402"/>
        <v>33901.8484</v>
      </c>
      <c r="X195" s="8">
        <f t="shared" si="9"/>
        <v>48.56999969</v>
      </c>
      <c r="Y195" s="8">
        <f t="shared" si="10"/>
        <v>52</v>
      </c>
      <c r="Z195" s="8">
        <f t="shared" si="11"/>
        <v>49</v>
      </c>
      <c r="AA195" s="8">
        <f t="shared" si="12"/>
        <v>70</v>
      </c>
      <c r="AB195" s="8">
        <f t="shared" ref="AB195:AC195" si="403">ROUNDUP(V195/1000,0)</f>
        <v>36</v>
      </c>
      <c r="AC195" s="8">
        <f t="shared" si="403"/>
        <v>34</v>
      </c>
      <c r="AD195" s="8">
        <f t="shared" si="383"/>
        <v>100</v>
      </c>
      <c r="AE195" s="8">
        <f t="shared" si="15"/>
        <v>1</v>
      </c>
    </row>
    <row r="196" ht="22.5" customHeight="1">
      <c r="A196" s="7" t="s">
        <v>256</v>
      </c>
      <c r="B196" s="7" t="s">
        <v>44</v>
      </c>
      <c r="C196" s="7">
        <f t="shared" si="3"/>
        <v>4</v>
      </c>
      <c r="D196" s="7">
        <v>83783.94531</v>
      </c>
      <c r="E196" s="7">
        <v>77.45300293</v>
      </c>
      <c r="F196" s="7">
        <v>100.0000023</v>
      </c>
      <c r="G196" s="7">
        <v>0.0</v>
      </c>
      <c r="H196" s="7">
        <v>0.0</v>
      </c>
      <c r="I196" s="7">
        <v>0.0</v>
      </c>
      <c r="J196" s="7">
        <v>100.0</v>
      </c>
      <c r="K196" s="7">
        <v>0.0</v>
      </c>
      <c r="L196" s="7">
        <v>0.0</v>
      </c>
      <c r="M196" s="7">
        <v>0.0</v>
      </c>
      <c r="N196" s="7">
        <v>100.0</v>
      </c>
      <c r="O196" s="7">
        <v>0.0</v>
      </c>
      <c r="P196" s="7">
        <v>0.0</v>
      </c>
      <c r="Q196" s="7">
        <v>0.0</v>
      </c>
      <c r="R196" s="8">
        <f t="shared" si="4"/>
        <v>17</v>
      </c>
      <c r="S196" s="8">
        <f t="shared" si="60"/>
        <v>83783945.31</v>
      </c>
      <c r="T196" s="8">
        <f t="shared" si="61"/>
        <v>64893181.62</v>
      </c>
      <c r="U196" s="8">
        <f t="shared" si="7"/>
        <v>18890763.69</v>
      </c>
      <c r="V196" s="8">
        <f t="shared" ref="V196:W196" si="404">T196/1000</f>
        <v>64893.18162</v>
      </c>
      <c r="W196" s="8">
        <f t="shared" si="404"/>
        <v>18890.76369</v>
      </c>
      <c r="X196" s="8">
        <f t="shared" si="9"/>
        <v>22.54699707</v>
      </c>
      <c r="Y196" s="8">
        <f t="shared" si="10"/>
        <v>78</v>
      </c>
      <c r="Z196" s="8">
        <f t="shared" si="11"/>
        <v>23</v>
      </c>
      <c r="AA196" s="8">
        <f t="shared" si="12"/>
        <v>84</v>
      </c>
      <c r="AB196" s="8">
        <f t="shared" ref="AB196:AC196" si="405">ROUNDUP(V196/1000,0)</f>
        <v>65</v>
      </c>
      <c r="AC196" s="8">
        <f t="shared" si="405"/>
        <v>19</v>
      </c>
      <c r="AD196" s="8">
        <f t="shared" si="383"/>
        <v>100</v>
      </c>
      <c r="AE196" s="8">
        <f t="shared" si="15"/>
        <v>1</v>
      </c>
    </row>
    <row r="197" ht="22.5" customHeight="1">
      <c r="A197" s="7" t="s">
        <v>257</v>
      </c>
      <c r="B197" s="7" t="s">
        <v>67</v>
      </c>
      <c r="C197" s="7">
        <f t="shared" si="3"/>
        <v>2</v>
      </c>
      <c r="D197" s="7">
        <v>83992.95313</v>
      </c>
      <c r="E197" s="7">
        <v>75.87400055</v>
      </c>
      <c r="F197" s="7">
        <v>97.48263633</v>
      </c>
      <c r="G197" s="7">
        <v>1.938311229</v>
      </c>
      <c r="H197" s="7">
        <v>0.5137973631</v>
      </c>
      <c r="I197" s="7">
        <v>0.06525508185</v>
      </c>
      <c r="J197" s="7">
        <v>93.82873538</v>
      </c>
      <c r="K197" s="7">
        <v>4.297948765</v>
      </c>
      <c r="L197" s="7">
        <v>1.602839669</v>
      </c>
      <c r="M197" s="7">
        <v>0.2704761905</v>
      </c>
      <c r="N197" s="7">
        <v>98.64448672</v>
      </c>
      <c r="O197" s="7">
        <v>1.188006671</v>
      </c>
      <c r="P197" s="7">
        <v>0.1675066077</v>
      </c>
      <c r="Q197" s="7">
        <v>0.0</v>
      </c>
      <c r="R197" s="8">
        <f t="shared" si="4"/>
        <v>17</v>
      </c>
      <c r="S197" s="8">
        <f t="shared" si="60"/>
        <v>83992953.13</v>
      </c>
      <c r="T197" s="8">
        <f t="shared" si="61"/>
        <v>63728813.72</v>
      </c>
      <c r="U197" s="8">
        <f t="shared" si="7"/>
        <v>20264139.41</v>
      </c>
      <c r="V197" s="8">
        <f t="shared" ref="V197:W197" si="406">T197/1000</f>
        <v>63728.81372</v>
      </c>
      <c r="W197" s="8">
        <f t="shared" si="406"/>
        <v>20264.13941</v>
      </c>
      <c r="X197" s="8">
        <f t="shared" si="9"/>
        <v>24.12599945</v>
      </c>
      <c r="Y197" s="8">
        <f t="shared" si="10"/>
        <v>76</v>
      </c>
      <c r="Z197" s="8">
        <f t="shared" si="11"/>
        <v>25</v>
      </c>
      <c r="AA197" s="8">
        <f t="shared" si="12"/>
        <v>84</v>
      </c>
      <c r="AB197" s="8">
        <f t="shared" ref="AB197:AC197" si="407">ROUNDUP(V197/1000,0)</f>
        <v>64</v>
      </c>
      <c r="AC197" s="8">
        <f t="shared" si="407"/>
        <v>21</v>
      </c>
      <c r="AD197" s="8">
        <f t="shared" si="383"/>
        <v>97</v>
      </c>
      <c r="AE197" s="8">
        <f t="shared" si="15"/>
        <v>1</v>
      </c>
    </row>
    <row r="198" ht="22.5" customHeight="1">
      <c r="A198" s="7" t="s">
        <v>258</v>
      </c>
      <c r="B198" s="7" t="s">
        <v>47</v>
      </c>
      <c r="C198" s="7">
        <f t="shared" si="3"/>
        <v>3</v>
      </c>
      <c r="D198" s="7">
        <v>84339.07031</v>
      </c>
      <c r="E198" s="7">
        <v>76.10500336</v>
      </c>
      <c r="F198" s="7">
        <v>97.01426916</v>
      </c>
      <c r="G198" s="7">
        <v>2.023078075</v>
      </c>
      <c r="H198" s="7">
        <v>0.7376749545</v>
      </c>
      <c r="I198" s="7">
        <v>0.2249778093</v>
      </c>
      <c r="J198" s="7">
        <v>96.02516977</v>
      </c>
      <c r="K198" s="7">
        <v>2.684574639</v>
      </c>
      <c r="L198" s="7">
        <v>0.7882555911</v>
      </c>
      <c r="M198" s="7">
        <v>0.502</v>
      </c>
      <c r="N198" s="7">
        <v>97.32481783</v>
      </c>
      <c r="O198" s="7">
        <v>1.815385203</v>
      </c>
      <c r="P198" s="7">
        <v>0.7217969634</v>
      </c>
      <c r="Q198" s="7">
        <v>0.138</v>
      </c>
      <c r="R198" s="8">
        <f t="shared" si="4"/>
        <v>17</v>
      </c>
      <c r="S198" s="8">
        <f t="shared" si="60"/>
        <v>84339070.31</v>
      </c>
      <c r="T198" s="8">
        <f t="shared" si="61"/>
        <v>64186252.29</v>
      </c>
      <c r="U198" s="8">
        <f t="shared" si="7"/>
        <v>20152818.02</v>
      </c>
      <c r="V198" s="8">
        <f t="shared" ref="V198:W198" si="408">T198/1000</f>
        <v>64186.25229</v>
      </c>
      <c r="W198" s="8">
        <f t="shared" si="408"/>
        <v>20152.81802</v>
      </c>
      <c r="X198" s="8">
        <f t="shared" si="9"/>
        <v>23.89499664</v>
      </c>
      <c r="Y198" s="8">
        <f t="shared" si="10"/>
        <v>77</v>
      </c>
      <c r="Z198" s="8">
        <f t="shared" si="11"/>
        <v>24</v>
      </c>
      <c r="AA198" s="8">
        <f t="shared" si="12"/>
        <v>85</v>
      </c>
      <c r="AB198" s="8">
        <f t="shared" ref="AB198:AC198" si="409">ROUNDUP(V198/1000,0)</f>
        <v>65</v>
      </c>
      <c r="AC198" s="8">
        <f t="shared" si="409"/>
        <v>21</v>
      </c>
      <c r="AD198" s="8">
        <f t="shared" si="383"/>
        <v>97</v>
      </c>
      <c r="AE198" s="8">
        <f t="shared" si="15"/>
        <v>1</v>
      </c>
    </row>
    <row r="199" ht="22.5" customHeight="1">
      <c r="A199" s="7" t="s">
        <v>259</v>
      </c>
      <c r="B199" s="7" t="s">
        <v>67</v>
      </c>
      <c r="C199" s="7">
        <f t="shared" si="3"/>
        <v>2</v>
      </c>
      <c r="D199" s="7">
        <v>89561.40625</v>
      </c>
      <c r="E199" s="7">
        <v>45.63800049</v>
      </c>
      <c r="F199" s="7">
        <v>45.95212696</v>
      </c>
      <c r="G199" s="7">
        <v>13.44122447</v>
      </c>
      <c r="H199" s="7">
        <v>32.54231607</v>
      </c>
      <c r="I199" s="7">
        <v>8.064332495</v>
      </c>
      <c r="J199" s="7">
        <v>21.98279234</v>
      </c>
      <c r="K199" s="7">
        <v>12.68294146</v>
      </c>
      <c r="L199" s="7">
        <v>51.21598167</v>
      </c>
      <c r="M199" s="7">
        <v>14.11828453</v>
      </c>
      <c r="N199" s="7">
        <v>74.50335478</v>
      </c>
      <c r="O199" s="7">
        <v>14.34445818</v>
      </c>
      <c r="P199" s="7">
        <v>10.29905862</v>
      </c>
      <c r="Q199" s="7">
        <v>0.8531284131</v>
      </c>
      <c r="R199" s="8">
        <f t="shared" si="4"/>
        <v>17</v>
      </c>
      <c r="S199" s="8">
        <f t="shared" si="60"/>
        <v>89561406.25</v>
      </c>
      <c r="T199" s="8">
        <f t="shared" si="61"/>
        <v>40874035.02</v>
      </c>
      <c r="U199" s="8">
        <f t="shared" si="7"/>
        <v>48687371.23</v>
      </c>
      <c r="V199" s="8">
        <f t="shared" ref="V199:W199" si="410">T199/1000</f>
        <v>40874.03502</v>
      </c>
      <c r="W199" s="8">
        <f t="shared" si="410"/>
        <v>48687.37123</v>
      </c>
      <c r="X199" s="8">
        <f t="shared" si="9"/>
        <v>54.36199951</v>
      </c>
      <c r="Y199" s="8">
        <f t="shared" si="10"/>
        <v>46</v>
      </c>
      <c r="Z199" s="8">
        <f t="shared" si="11"/>
        <v>55</v>
      </c>
      <c r="AA199" s="8">
        <f t="shared" si="12"/>
        <v>90</v>
      </c>
      <c r="AB199" s="8">
        <f t="shared" ref="AB199:AC199" si="411">ROUNDUP(V199/1000,0)</f>
        <v>41</v>
      </c>
      <c r="AC199" s="8">
        <f t="shared" si="411"/>
        <v>49</v>
      </c>
      <c r="AD199" s="8">
        <f t="shared" si="383"/>
        <v>46</v>
      </c>
      <c r="AE199" s="8">
        <f t="shared" si="15"/>
        <v>1</v>
      </c>
    </row>
    <row r="200" ht="22.5" customHeight="1">
      <c r="A200" s="7" t="s">
        <v>260</v>
      </c>
      <c r="B200" s="7" t="s">
        <v>67</v>
      </c>
      <c r="C200" s="7">
        <f t="shared" si="3"/>
        <v>2</v>
      </c>
      <c r="D200" s="7">
        <v>97338.58594</v>
      </c>
      <c r="E200" s="7">
        <v>37.34000015</v>
      </c>
      <c r="F200" s="7">
        <v>96.88435687</v>
      </c>
      <c r="G200" s="7">
        <v>0.0</v>
      </c>
      <c r="H200" s="7">
        <v>3.115643126</v>
      </c>
      <c r="I200" s="7">
        <v>0.0</v>
      </c>
      <c r="J200" s="7">
        <v>95.51453844</v>
      </c>
      <c r="K200" s="7">
        <v>0.0</v>
      </c>
      <c r="L200" s="7">
        <v>4.48546156</v>
      </c>
      <c r="M200" s="7">
        <v>0.0</v>
      </c>
      <c r="N200" s="7">
        <v>99.18304001</v>
      </c>
      <c r="O200" s="7">
        <v>0.0</v>
      </c>
      <c r="P200" s="7">
        <v>0.816959987</v>
      </c>
      <c r="Q200" s="7">
        <v>0.0</v>
      </c>
      <c r="R200" s="8">
        <f t="shared" si="4"/>
        <v>17</v>
      </c>
      <c r="S200" s="8">
        <f t="shared" si="60"/>
        <v>97338585.94</v>
      </c>
      <c r="T200" s="8">
        <f t="shared" si="61"/>
        <v>36346228.14</v>
      </c>
      <c r="U200" s="8">
        <f t="shared" si="7"/>
        <v>60992357.8</v>
      </c>
      <c r="V200" s="8">
        <f t="shared" ref="V200:W200" si="412">T200/1000</f>
        <v>36346.22814</v>
      </c>
      <c r="W200" s="8">
        <f t="shared" si="412"/>
        <v>60992.3578</v>
      </c>
      <c r="X200" s="8">
        <f t="shared" si="9"/>
        <v>62.65999985</v>
      </c>
      <c r="Y200" s="8">
        <f t="shared" si="10"/>
        <v>38</v>
      </c>
      <c r="Z200" s="8">
        <f t="shared" si="11"/>
        <v>63</v>
      </c>
      <c r="AA200" s="8">
        <f t="shared" si="12"/>
        <v>98</v>
      </c>
      <c r="AB200" s="8">
        <f t="shared" ref="AB200:AC200" si="413">ROUNDUP(V200/1000,0)</f>
        <v>37</v>
      </c>
      <c r="AC200" s="8">
        <f t="shared" si="413"/>
        <v>61</v>
      </c>
      <c r="AD200" s="8">
        <f t="shared" si="383"/>
        <v>97</v>
      </c>
      <c r="AE200" s="8">
        <f t="shared" si="15"/>
        <v>1</v>
      </c>
    </row>
    <row r="201" ht="22.5" customHeight="1">
      <c r="A201" s="7" t="s">
        <v>261</v>
      </c>
      <c r="B201" s="7" t="s">
        <v>67</v>
      </c>
      <c r="C201" s="7">
        <f t="shared" si="3"/>
        <v>2</v>
      </c>
      <c r="D201" s="7">
        <v>102334.4063</v>
      </c>
      <c r="E201" s="7">
        <v>42.78300095</v>
      </c>
      <c r="F201" s="7">
        <v>99.44017596</v>
      </c>
      <c r="G201" s="7">
        <v>0.2376091086</v>
      </c>
      <c r="H201" s="7">
        <v>0.3222149265</v>
      </c>
      <c r="I201" s="7">
        <v>0.0</v>
      </c>
      <c r="J201" s="7">
        <v>99.33283515</v>
      </c>
      <c r="K201" s="7">
        <v>0.3359418224</v>
      </c>
      <c r="L201" s="7">
        <v>0.3312230319</v>
      </c>
      <c r="M201" s="7">
        <v>0.0</v>
      </c>
      <c r="N201" s="7">
        <v>99.5837311</v>
      </c>
      <c r="O201" s="7">
        <v>0.1061012067</v>
      </c>
      <c r="P201" s="7">
        <v>0.3101676943</v>
      </c>
      <c r="Q201" s="7">
        <v>0.0</v>
      </c>
      <c r="R201" s="8">
        <f t="shared" si="4"/>
        <v>17</v>
      </c>
      <c r="S201" s="8">
        <f t="shared" si="60"/>
        <v>102334406.3</v>
      </c>
      <c r="T201" s="8">
        <f t="shared" si="61"/>
        <v>43781730.02</v>
      </c>
      <c r="U201" s="8">
        <f t="shared" si="7"/>
        <v>58552676.28</v>
      </c>
      <c r="V201" s="8">
        <f t="shared" ref="V201:W201" si="414">T201/1000</f>
        <v>43781.73002</v>
      </c>
      <c r="W201" s="8">
        <f t="shared" si="414"/>
        <v>58552.67628</v>
      </c>
      <c r="X201" s="8">
        <f t="shared" si="9"/>
        <v>57.21699905</v>
      </c>
      <c r="Y201" s="8">
        <f t="shared" si="10"/>
        <v>43</v>
      </c>
      <c r="Z201" s="8">
        <f t="shared" si="11"/>
        <v>58</v>
      </c>
      <c r="AA201" s="8">
        <f t="shared" si="12"/>
        <v>103</v>
      </c>
      <c r="AB201" s="8">
        <f t="shared" ref="AB201:AC201" si="415">ROUNDUP(V201/1000,0)</f>
        <v>44</v>
      </c>
      <c r="AC201" s="8">
        <f t="shared" si="415"/>
        <v>59</v>
      </c>
      <c r="AD201" s="8">
        <f t="shared" si="383"/>
        <v>99</v>
      </c>
      <c r="AE201" s="8">
        <f t="shared" si="15"/>
        <v>1</v>
      </c>
    </row>
    <row r="202" ht="22.5" customHeight="1">
      <c r="A202" s="7" t="s">
        <v>262</v>
      </c>
      <c r="B202" s="7" t="s">
        <v>67</v>
      </c>
      <c r="C202" s="7">
        <f t="shared" si="3"/>
        <v>2</v>
      </c>
      <c r="D202" s="7">
        <v>109581.0859</v>
      </c>
      <c r="E202" s="7">
        <v>47.40799713</v>
      </c>
      <c r="F202" s="7">
        <v>94.10903456</v>
      </c>
      <c r="G202" s="7">
        <v>2.856486137</v>
      </c>
      <c r="H202" s="7">
        <v>3.034479307</v>
      </c>
      <c r="I202" s="7">
        <v>0.0</v>
      </c>
      <c r="J202" s="7">
        <v>91.06193322</v>
      </c>
      <c r="K202" s="7">
        <v>3.959520428</v>
      </c>
      <c r="L202" s="7">
        <v>4.978546347</v>
      </c>
      <c r="M202" s="7">
        <v>0.0</v>
      </c>
      <c r="N202" s="7">
        <v>97.4893325</v>
      </c>
      <c r="O202" s="7">
        <v>1.632836465</v>
      </c>
      <c r="P202" s="7">
        <v>0.877831036</v>
      </c>
      <c r="Q202" s="7">
        <v>0.0</v>
      </c>
      <c r="R202" s="8">
        <f t="shared" si="4"/>
        <v>17</v>
      </c>
      <c r="S202" s="8">
        <f t="shared" si="60"/>
        <v>109581085.9</v>
      </c>
      <c r="T202" s="8">
        <f t="shared" si="61"/>
        <v>51950198.06</v>
      </c>
      <c r="U202" s="8">
        <f t="shared" si="7"/>
        <v>57630887.84</v>
      </c>
      <c r="V202" s="8">
        <f t="shared" ref="V202:W202" si="416">T202/1000</f>
        <v>51950.19806</v>
      </c>
      <c r="W202" s="8">
        <f t="shared" si="416"/>
        <v>57630.88784</v>
      </c>
      <c r="X202" s="8">
        <f t="shared" si="9"/>
        <v>52.59200287</v>
      </c>
      <c r="Y202" s="8">
        <f t="shared" si="10"/>
        <v>48</v>
      </c>
      <c r="Z202" s="8">
        <f t="shared" si="11"/>
        <v>53</v>
      </c>
      <c r="AA202" s="8">
        <f t="shared" si="12"/>
        <v>110</v>
      </c>
      <c r="AB202" s="8">
        <f t="shared" ref="AB202:AC202" si="417">ROUNDUP(V202/1000,0)</f>
        <v>52</v>
      </c>
      <c r="AC202" s="8">
        <f t="shared" si="417"/>
        <v>58</v>
      </c>
      <c r="AD202" s="8">
        <f t="shared" si="383"/>
        <v>94</v>
      </c>
      <c r="AE202" s="8">
        <f t="shared" si="15"/>
        <v>1</v>
      </c>
    </row>
    <row r="203" ht="22.5" customHeight="1">
      <c r="A203" s="7" t="s">
        <v>263</v>
      </c>
      <c r="B203" s="7" t="s">
        <v>118</v>
      </c>
      <c r="C203" s="7">
        <f t="shared" si="3"/>
        <v>1</v>
      </c>
      <c r="D203" s="7">
        <v>114963.5859</v>
      </c>
      <c r="E203" s="7">
        <v>21.69499969</v>
      </c>
      <c r="F203" s="7">
        <v>49.61557274</v>
      </c>
      <c r="G203" s="7">
        <v>26.74071964</v>
      </c>
      <c r="H203" s="7">
        <v>18.63506013</v>
      </c>
      <c r="I203" s="7">
        <v>5.008647486</v>
      </c>
      <c r="J203" s="7">
        <v>40.03013919</v>
      </c>
      <c r="K203" s="7">
        <v>30.18668334</v>
      </c>
      <c r="L203" s="7">
        <v>23.49561327</v>
      </c>
      <c r="M203" s="7">
        <v>6.287564203</v>
      </c>
      <c r="N203" s="7">
        <v>84.21282816</v>
      </c>
      <c r="O203" s="7">
        <v>14.30300858</v>
      </c>
      <c r="P203" s="7">
        <v>1.091582355</v>
      </c>
      <c r="Q203" s="7">
        <v>0.392580896</v>
      </c>
      <c r="R203" s="8">
        <f t="shared" si="4"/>
        <v>17</v>
      </c>
      <c r="S203" s="8">
        <f t="shared" si="60"/>
        <v>114963585.9</v>
      </c>
      <c r="T203" s="8">
        <f t="shared" si="61"/>
        <v>24941349.6</v>
      </c>
      <c r="U203" s="8">
        <f t="shared" si="7"/>
        <v>90022236.3</v>
      </c>
      <c r="V203" s="8">
        <f t="shared" ref="V203:W203" si="418">T203/1000</f>
        <v>24941.3496</v>
      </c>
      <c r="W203" s="8">
        <f t="shared" si="418"/>
        <v>90022.2363</v>
      </c>
      <c r="X203" s="8">
        <f t="shared" si="9"/>
        <v>78.30500031</v>
      </c>
      <c r="Y203" s="8">
        <f t="shared" si="10"/>
        <v>22</v>
      </c>
      <c r="Z203" s="8">
        <f t="shared" si="11"/>
        <v>79</v>
      </c>
      <c r="AA203" s="8">
        <f t="shared" si="12"/>
        <v>115</v>
      </c>
      <c r="AB203" s="8">
        <f t="shared" ref="AB203:AC203" si="419">ROUNDUP(V203/1000,0)</f>
        <v>25</v>
      </c>
      <c r="AC203" s="8">
        <f t="shared" si="419"/>
        <v>91</v>
      </c>
      <c r="AD203" s="8">
        <f t="shared" si="383"/>
        <v>50</v>
      </c>
      <c r="AE203" s="8">
        <f t="shared" si="15"/>
        <v>1</v>
      </c>
    </row>
    <row r="204" ht="22.5" customHeight="1">
      <c r="A204" s="7" t="s">
        <v>264</v>
      </c>
      <c r="B204" s="7" t="s">
        <v>44</v>
      </c>
      <c r="C204" s="7">
        <f t="shared" si="3"/>
        <v>4</v>
      </c>
      <c r="D204" s="7">
        <v>126476.4609</v>
      </c>
      <c r="E204" s="7">
        <v>91.78199768</v>
      </c>
      <c r="F204" s="7">
        <v>99.07891245</v>
      </c>
      <c r="G204" s="7">
        <v>0.0</v>
      </c>
      <c r="H204" s="7">
        <v>0.9210875467</v>
      </c>
      <c r="I204" s="7">
        <v>0.0</v>
      </c>
      <c r="J204" s="7" t="s">
        <v>36</v>
      </c>
      <c r="K204" s="7" t="s">
        <v>36</v>
      </c>
      <c r="L204" s="7" t="s">
        <v>36</v>
      </c>
      <c r="M204" s="7" t="s">
        <v>36</v>
      </c>
      <c r="N204" s="7" t="s">
        <v>36</v>
      </c>
      <c r="O204" s="7" t="s">
        <v>36</v>
      </c>
      <c r="P204" s="7" t="s">
        <v>36</v>
      </c>
      <c r="Q204" s="7" t="s">
        <v>36</v>
      </c>
      <c r="R204" s="8">
        <f t="shared" si="4"/>
        <v>17</v>
      </c>
      <c r="S204" s="8">
        <f t="shared" si="60"/>
        <v>126476460.9</v>
      </c>
      <c r="T204" s="8">
        <f t="shared" si="61"/>
        <v>116082622.4</v>
      </c>
      <c r="U204" s="8">
        <f t="shared" si="7"/>
        <v>10393838.49</v>
      </c>
      <c r="V204" s="8">
        <f t="shared" ref="V204:W204" si="420">T204/1000</f>
        <v>116082.6224</v>
      </c>
      <c r="W204" s="8">
        <f t="shared" si="420"/>
        <v>10393.83849</v>
      </c>
      <c r="X204" s="8">
        <f t="shared" si="9"/>
        <v>8.21800232</v>
      </c>
      <c r="Y204" s="8">
        <f t="shared" si="10"/>
        <v>92</v>
      </c>
      <c r="Z204" s="8">
        <f t="shared" si="11"/>
        <v>9</v>
      </c>
      <c r="AA204" s="8">
        <f t="shared" si="12"/>
        <v>127</v>
      </c>
      <c r="AB204" s="8">
        <f t="shared" ref="AB204:AC204" si="421">ROUNDUP(V204/1000,0)</f>
        <v>117</v>
      </c>
      <c r="AC204" s="8">
        <f t="shared" si="421"/>
        <v>11</v>
      </c>
      <c r="AD204" s="8">
        <f t="shared" si="383"/>
        <v>99</v>
      </c>
      <c r="AE204" s="8">
        <f t="shared" si="15"/>
        <v>1</v>
      </c>
    </row>
    <row r="205" ht="22.5" customHeight="1">
      <c r="A205" s="7" t="s">
        <v>265</v>
      </c>
      <c r="B205" s="7" t="s">
        <v>47</v>
      </c>
      <c r="C205" s="7">
        <f t="shared" si="3"/>
        <v>3</v>
      </c>
      <c r="D205" s="7">
        <v>128932.75</v>
      </c>
      <c r="E205" s="7">
        <v>80.73099518</v>
      </c>
      <c r="F205" s="7">
        <v>99.67956828</v>
      </c>
      <c r="G205" s="7">
        <v>0.0</v>
      </c>
      <c r="H205" s="7">
        <v>0.3204317169</v>
      </c>
      <c r="I205" s="7">
        <v>0.0</v>
      </c>
      <c r="J205" s="7">
        <v>98.33706893</v>
      </c>
      <c r="K205" s="7">
        <v>0.0</v>
      </c>
      <c r="L205" s="7">
        <v>1.662931067</v>
      </c>
      <c r="M205" s="7">
        <v>0.0</v>
      </c>
      <c r="N205" s="7">
        <v>100.0</v>
      </c>
      <c r="O205" s="7">
        <v>0.0</v>
      </c>
      <c r="P205" s="7">
        <v>0.0</v>
      </c>
      <c r="Q205" s="7">
        <v>0.0</v>
      </c>
      <c r="R205" s="8">
        <f t="shared" si="4"/>
        <v>17</v>
      </c>
      <c r="S205" s="8">
        <f t="shared" si="60"/>
        <v>128932750</v>
      </c>
      <c r="T205" s="8">
        <f t="shared" si="61"/>
        <v>104088692.2</v>
      </c>
      <c r="U205" s="8">
        <f t="shared" si="7"/>
        <v>24844057.81</v>
      </c>
      <c r="V205" s="8">
        <f t="shared" ref="V205:W205" si="422">T205/1000</f>
        <v>104088.6922</v>
      </c>
      <c r="W205" s="8">
        <f t="shared" si="422"/>
        <v>24844.05781</v>
      </c>
      <c r="X205" s="8">
        <f t="shared" si="9"/>
        <v>19.26900482</v>
      </c>
      <c r="Y205" s="8">
        <f t="shared" si="10"/>
        <v>81</v>
      </c>
      <c r="Z205" s="8">
        <f t="shared" si="11"/>
        <v>20</v>
      </c>
      <c r="AA205" s="8">
        <f t="shared" si="12"/>
        <v>129</v>
      </c>
      <c r="AB205" s="8">
        <f t="shared" ref="AB205:AC205" si="423">ROUNDUP(V205/1000,0)</f>
        <v>105</v>
      </c>
      <c r="AC205" s="8">
        <f t="shared" si="423"/>
        <v>25</v>
      </c>
      <c r="AD205" s="8">
        <f t="shared" si="383"/>
        <v>100</v>
      </c>
      <c r="AE205" s="8">
        <f t="shared" si="15"/>
        <v>1</v>
      </c>
    </row>
    <row r="206" ht="22.5" customHeight="1">
      <c r="A206" s="7" t="s">
        <v>266</v>
      </c>
      <c r="B206" s="7" t="s">
        <v>47</v>
      </c>
      <c r="C206" s="7">
        <f t="shared" si="3"/>
        <v>3</v>
      </c>
      <c r="D206" s="7">
        <v>145934.4531</v>
      </c>
      <c r="E206" s="7">
        <v>74.75400543</v>
      </c>
      <c r="F206" s="7">
        <v>96.99254807</v>
      </c>
      <c r="G206" s="7">
        <v>0.6219963766</v>
      </c>
      <c r="H206" s="7">
        <v>2.38545555</v>
      </c>
      <c r="I206" s="7" t="s">
        <v>36</v>
      </c>
      <c r="J206" s="7">
        <v>91.54410196</v>
      </c>
      <c r="K206" s="7">
        <v>1.583163513</v>
      </c>
      <c r="L206" s="7">
        <v>6.872734531</v>
      </c>
      <c r="M206" s="7" t="s">
        <v>36</v>
      </c>
      <c r="N206" s="7">
        <v>98.83259961</v>
      </c>
      <c r="O206" s="7">
        <v>0.2973899687</v>
      </c>
      <c r="P206" s="7">
        <v>0.6700104236</v>
      </c>
      <c r="Q206" s="7">
        <v>0.2</v>
      </c>
      <c r="R206" s="8">
        <f t="shared" si="4"/>
        <v>17</v>
      </c>
      <c r="S206" s="8">
        <f t="shared" si="60"/>
        <v>145934453.1</v>
      </c>
      <c r="T206" s="8">
        <f t="shared" si="61"/>
        <v>109091849</v>
      </c>
      <c r="U206" s="8">
        <f t="shared" si="7"/>
        <v>36842604.11</v>
      </c>
      <c r="V206" s="8">
        <f t="shared" ref="V206:W206" si="424">T206/1000</f>
        <v>109091.849</v>
      </c>
      <c r="W206" s="8">
        <f t="shared" si="424"/>
        <v>36842.60411</v>
      </c>
      <c r="X206" s="8">
        <f t="shared" si="9"/>
        <v>25.24599457</v>
      </c>
      <c r="Y206" s="8">
        <f t="shared" si="10"/>
        <v>75</v>
      </c>
      <c r="Z206" s="8">
        <f t="shared" si="11"/>
        <v>26</v>
      </c>
      <c r="AA206" s="8">
        <f t="shared" si="12"/>
        <v>146</v>
      </c>
      <c r="AB206" s="8">
        <f t="shared" ref="AB206:AC206" si="425">ROUNDUP(V206/1000,0)</f>
        <v>110</v>
      </c>
      <c r="AC206" s="8">
        <f t="shared" si="425"/>
        <v>37</v>
      </c>
      <c r="AD206" s="8">
        <f t="shared" si="383"/>
        <v>97</v>
      </c>
      <c r="AE206" s="8">
        <f t="shared" si="15"/>
        <v>1</v>
      </c>
    </row>
    <row r="207" ht="22.5" customHeight="1">
      <c r="A207" s="7" t="s">
        <v>267</v>
      </c>
      <c r="B207" s="7" t="s">
        <v>67</v>
      </c>
      <c r="C207" s="7">
        <f t="shared" si="3"/>
        <v>2</v>
      </c>
      <c r="D207" s="7">
        <v>164689.3906</v>
      </c>
      <c r="E207" s="7">
        <v>38.17700195</v>
      </c>
      <c r="F207" s="7">
        <v>97.69796025</v>
      </c>
      <c r="G207" s="7">
        <v>1.156425878</v>
      </c>
      <c r="H207" s="7">
        <v>0.4626557002</v>
      </c>
      <c r="I207" s="7">
        <v>0.6829581735</v>
      </c>
      <c r="J207" s="7">
        <v>97.88023776</v>
      </c>
      <c r="K207" s="7">
        <v>0.8581049804</v>
      </c>
      <c r="L207" s="7">
        <v>0.3164802414</v>
      </c>
      <c r="M207" s="7">
        <v>0.9451770151</v>
      </c>
      <c r="N207" s="7">
        <v>97.40277797</v>
      </c>
      <c r="O207" s="7">
        <v>1.639520121</v>
      </c>
      <c r="P207" s="7">
        <v>0.6993752147</v>
      </c>
      <c r="Q207" s="7">
        <v>0.2583266934</v>
      </c>
      <c r="R207" s="8">
        <f t="shared" si="4"/>
        <v>17</v>
      </c>
      <c r="S207" s="8">
        <f t="shared" si="60"/>
        <v>164689390.6</v>
      </c>
      <c r="T207" s="8">
        <f t="shared" si="61"/>
        <v>62873471.86</v>
      </c>
      <c r="U207" s="8">
        <f t="shared" si="7"/>
        <v>101815918.7</v>
      </c>
      <c r="V207" s="8">
        <f t="shared" ref="V207:W207" si="426">T207/1000</f>
        <v>62873.47186</v>
      </c>
      <c r="W207" s="8">
        <f t="shared" si="426"/>
        <v>101815.9187</v>
      </c>
      <c r="X207" s="8">
        <f t="shared" si="9"/>
        <v>61.82299805</v>
      </c>
      <c r="Y207" s="8">
        <f t="shared" si="10"/>
        <v>39</v>
      </c>
      <c r="Z207" s="8">
        <f t="shared" si="11"/>
        <v>62</v>
      </c>
      <c r="AA207" s="8">
        <f t="shared" si="12"/>
        <v>165</v>
      </c>
      <c r="AB207" s="8">
        <f t="shared" ref="AB207:AC207" si="427">ROUNDUP(V207/1000,0)</f>
        <v>63</v>
      </c>
      <c r="AC207" s="8">
        <f t="shared" si="427"/>
        <v>102</v>
      </c>
      <c r="AD207" s="8">
        <f t="shared" si="383"/>
        <v>98</v>
      </c>
      <c r="AE207" s="8">
        <f t="shared" si="15"/>
        <v>1</v>
      </c>
    </row>
    <row r="208" ht="22.5" customHeight="1">
      <c r="A208" s="7" t="s">
        <v>268</v>
      </c>
      <c r="B208" s="7" t="s">
        <v>67</v>
      </c>
      <c r="C208" s="7">
        <f t="shared" si="3"/>
        <v>2</v>
      </c>
      <c r="D208" s="7">
        <v>206139.5938</v>
      </c>
      <c r="E208" s="7">
        <v>51.95800018</v>
      </c>
      <c r="F208" s="7">
        <v>77.60905338</v>
      </c>
      <c r="G208" s="7">
        <v>4.979399343</v>
      </c>
      <c r="H208" s="7">
        <v>11.79691148</v>
      </c>
      <c r="I208" s="7">
        <v>5.614635794</v>
      </c>
      <c r="J208" s="7">
        <v>61.65821003</v>
      </c>
      <c r="K208" s="7">
        <v>7.128924583</v>
      </c>
      <c r="L208" s="7">
        <v>20.92487535</v>
      </c>
      <c r="M208" s="7">
        <v>10.28799004</v>
      </c>
      <c r="N208" s="7">
        <v>92.35770519</v>
      </c>
      <c r="O208" s="7">
        <v>2.99188065</v>
      </c>
      <c r="P208" s="7">
        <v>3.356908786</v>
      </c>
      <c r="Q208" s="7">
        <v>1.29350537</v>
      </c>
      <c r="R208" s="8">
        <f t="shared" si="4"/>
        <v>17</v>
      </c>
      <c r="S208" s="8">
        <f t="shared" si="60"/>
        <v>206139593.8</v>
      </c>
      <c r="T208" s="8">
        <f t="shared" si="61"/>
        <v>107106010.5</v>
      </c>
      <c r="U208" s="8">
        <f t="shared" si="7"/>
        <v>99033583.28</v>
      </c>
      <c r="V208" s="8">
        <f t="shared" ref="V208:W208" si="428">T208/1000</f>
        <v>107106.0105</v>
      </c>
      <c r="W208" s="8">
        <f t="shared" si="428"/>
        <v>99033.58328</v>
      </c>
      <c r="X208" s="8">
        <f t="shared" si="9"/>
        <v>48.04199982</v>
      </c>
      <c r="Y208" s="8">
        <f t="shared" si="10"/>
        <v>52</v>
      </c>
      <c r="Z208" s="8">
        <f t="shared" si="11"/>
        <v>49</v>
      </c>
      <c r="AA208" s="8">
        <f t="shared" si="12"/>
        <v>207</v>
      </c>
      <c r="AB208" s="8">
        <f t="shared" ref="AB208:AC208" si="429">ROUNDUP(V208/1000,0)</f>
        <v>108</v>
      </c>
      <c r="AC208" s="8">
        <f t="shared" si="429"/>
        <v>100</v>
      </c>
      <c r="AD208" s="8">
        <f t="shared" si="383"/>
        <v>78</v>
      </c>
      <c r="AE208" s="8">
        <f t="shared" si="15"/>
        <v>1</v>
      </c>
    </row>
    <row r="209" ht="22.5" customHeight="1">
      <c r="A209" s="7" t="s">
        <v>269</v>
      </c>
      <c r="B209" s="7" t="s">
        <v>47</v>
      </c>
      <c r="C209" s="7">
        <f t="shared" si="3"/>
        <v>3</v>
      </c>
      <c r="D209" s="7">
        <v>212559.4063</v>
      </c>
      <c r="E209" s="7">
        <v>87.07299805</v>
      </c>
      <c r="F209" s="7">
        <v>99.32085299</v>
      </c>
      <c r="G209" s="7">
        <v>0.1265490039</v>
      </c>
      <c r="H209" s="7">
        <v>0.5525980099</v>
      </c>
      <c r="I209" s="7" t="s">
        <v>36</v>
      </c>
      <c r="J209" s="7">
        <v>95.94525953</v>
      </c>
      <c r="K209" s="7">
        <v>0.9789509154</v>
      </c>
      <c r="L209" s="7">
        <v>3.075789551</v>
      </c>
      <c r="M209" s="7" t="s">
        <v>36</v>
      </c>
      <c r="N209" s="7">
        <v>99.82200131</v>
      </c>
      <c r="O209" s="7">
        <v>0.0</v>
      </c>
      <c r="P209" s="7">
        <v>0.1779986949</v>
      </c>
      <c r="Q209" s="7">
        <v>0.0</v>
      </c>
      <c r="R209" s="8">
        <f t="shared" si="4"/>
        <v>17</v>
      </c>
      <c r="S209" s="8">
        <f t="shared" si="60"/>
        <v>212559406.3</v>
      </c>
      <c r="T209" s="8">
        <f t="shared" si="61"/>
        <v>185081847.7</v>
      </c>
      <c r="U209" s="8">
        <f t="shared" si="7"/>
        <v>27477558.6</v>
      </c>
      <c r="V209" s="8">
        <f t="shared" ref="V209:W209" si="430">T209/1000</f>
        <v>185081.8477</v>
      </c>
      <c r="W209" s="8">
        <f t="shared" si="430"/>
        <v>27477.5586</v>
      </c>
      <c r="X209" s="8">
        <f t="shared" si="9"/>
        <v>12.92700195</v>
      </c>
      <c r="Y209" s="8">
        <f t="shared" si="10"/>
        <v>88</v>
      </c>
      <c r="Z209" s="8">
        <f t="shared" si="11"/>
        <v>13</v>
      </c>
      <c r="AA209" s="8">
        <f t="shared" si="12"/>
        <v>213</v>
      </c>
      <c r="AB209" s="8">
        <f t="shared" ref="AB209:AC209" si="431">ROUNDUP(V209/1000,0)</f>
        <v>186</v>
      </c>
      <c r="AC209" s="8">
        <f t="shared" si="431"/>
        <v>28</v>
      </c>
      <c r="AD209" s="8">
        <f t="shared" si="383"/>
        <v>99</v>
      </c>
      <c r="AE209" s="8">
        <f t="shared" si="15"/>
        <v>1</v>
      </c>
    </row>
    <row r="210" ht="22.5" customHeight="1">
      <c r="A210" s="7" t="s">
        <v>270</v>
      </c>
      <c r="B210" s="7" t="s">
        <v>67</v>
      </c>
      <c r="C210" s="7">
        <f t="shared" si="3"/>
        <v>2</v>
      </c>
      <c r="D210" s="7">
        <v>220892.3281</v>
      </c>
      <c r="E210" s="7">
        <v>37.16500092</v>
      </c>
      <c r="F210" s="7">
        <v>90.14896508</v>
      </c>
      <c r="G210" s="7">
        <v>3.822279525</v>
      </c>
      <c r="H210" s="7">
        <v>4.413307574</v>
      </c>
      <c r="I210" s="7">
        <v>1.61544782</v>
      </c>
      <c r="J210" s="7">
        <v>88.59986076</v>
      </c>
      <c r="K210" s="7">
        <v>3.852278117</v>
      </c>
      <c r="L210" s="7">
        <v>5.174596509</v>
      </c>
      <c r="M210" s="7">
        <v>2.373264617</v>
      </c>
      <c r="N210" s="7">
        <v>92.76804985</v>
      </c>
      <c r="O210" s="7">
        <v>3.771561162</v>
      </c>
      <c r="P210" s="7">
        <v>3.126184571</v>
      </c>
      <c r="Q210" s="7">
        <v>0.3342044223</v>
      </c>
      <c r="R210" s="8">
        <f t="shared" si="4"/>
        <v>17</v>
      </c>
      <c r="S210" s="8">
        <f t="shared" si="60"/>
        <v>220892328.1</v>
      </c>
      <c r="T210" s="8">
        <f t="shared" si="61"/>
        <v>82094635.77</v>
      </c>
      <c r="U210" s="8">
        <f t="shared" si="7"/>
        <v>138797692.3</v>
      </c>
      <c r="V210" s="8">
        <f t="shared" ref="V210:W210" si="432">T210/1000</f>
        <v>82094.63577</v>
      </c>
      <c r="W210" s="8">
        <f t="shared" si="432"/>
        <v>138797.6923</v>
      </c>
      <c r="X210" s="8">
        <f t="shared" si="9"/>
        <v>62.83499908</v>
      </c>
      <c r="Y210" s="8">
        <f t="shared" si="10"/>
        <v>38</v>
      </c>
      <c r="Z210" s="8">
        <f t="shared" si="11"/>
        <v>63</v>
      </c>
      <c r="AA210" s="8">
        <f t="shared" si="12"/>
        <v>221</v>
      </c>
      <c r="AB210" s="8">
        <f t="shared" ref="AB210:AC210" si="433">ROUNDUP(V210/1000,0)</f>
        <v>83</v>
      </c>
      <c r="AC210" s="8">
        <f t="shared" si="433"/>
        <v>139</v>
      </c>
      <c r="AD210" s="8">
        <f t="shared" si="383"/>
        <v>90</v>
      </c>
      <c r="AE210" s="8">
        <f t="shared" si="15"/>
        <v>1</v>
      </c>
    </row>
    <row r="211" ht="22.5" customHeight="1">
      <c r="A211" s="7" t="s">
        <v>271</v>
      </c>
      <c r="B211" s="7" t="s">
        <v>67</v>
      </c>
      <c r="C211" s="7">
        <f t="shared" si="3"/>
        <v>2</v>
      </c>
      <c r="D211" s="7">
        <v>273523.625</v>
      </c>
      <c r="E211" s="7">
        <v>56.64099884</v>
      </c>
      <c r="F211" s="7">
        <v>92.41534961</v>
      </c>
      <c r="G211" s="7">
        <v>0.8554746335</v>
      </c>
      <c r="H211" s="7">
        <v>5.553871666</v>
      </c>
      <c r="I211" s="7">
        <v>1.175304087</v>
      </c>
      <c r="J211" s="7">
        <v>85.66796238</v>
      </c>
      <c r="K211" s="7">
        <v>1.17809123</v>
      </c>
      <c r="L211" s="7">
        <v>10.61491462</v>
      </c>
      <c r="M211" s="7">
        <v>2.539031772</v>
      </c>
      <c r="N211" s="7">
        <v>97.58051207</v>
      </c>
      <c r="O211" s="7">
        <v>0.6085098345</v>
      </c>
      <c r="P211" s="7">
        <v>1.679615139</v>
      </c>
      <c r="Q211" s="7">
        <v>0.1313629588</v>
      </c>
      <c r="R211" s="8">
        <f t="shared" si="4"/>
        <v>17</v>
      </c>
      <c r="S211" s="8">
        <f t="shared" si="60"/>
        <v>273523625</v>
      </c>
      <c r="T211" s="8">
        <f t="shared" si="61"/>
        <v>154926513.3</v>
      </c>
      <c r="U211" s="8">
        <f t="shared" si="7"/>
        <v>118597111.7</v>
      </c>
      <c r="V211" s="8">
        <f t="shared" ref="V211:W211" si="434">T211/1000</f>
        <v>154926.5133</v>
      </c>
      <c r="W211" s="8">
        <f t="shared" si="434"/>
        <v>118597.1117</v>
      </c>
      <c r="X211" s="8">
        <f t="shared" si="9"/>
        <v>43.35900116</v>
      </c>
      <c r="Y211" s="8">
        <f t="shared" si="10"/>
        <v>57</v>
      </c>
      <c r="Z211" s="8">
        <f t="shared" si="11"/>
        <v>44</v>
      </c>
      <c r="AA211" s="8">
        <f t="shared" si="12"/>
        <v>274</v>
      </c>
      <c r="AB211" s="8">
        <f t="shared" ref="AB211:AC211" si="435">ROUNDUP(V211/1000,0)</f>
        <v>155</v>
      </c>
      <c r="AC211" s="8">
        <f t="shared" si="435"/>
        <v>119</v>
      </c>
      <c r="AD211" s="8">
        <f t="shared" si="383"/>
        <v>92</v>
      </c>
      <c r="AE211" s="8">
        <f t="shared" si="15"/>
        <v>1</v>
      </c>
    </row>
    <row r="212" ht="22.5" customHeight="1">
      <c r="A212" s="7" t="s">
        <v>272</v>
      </c>
      <c r="B212" s="7" t="s">
        <v>44</v>
      </c>
      <c r="C212" s="7">
        <f t="shared" si="3"/>
        <v>4</v>
      </c>
      <c r="D212" s="7">
        <v>331002.6563</v>
      </c>
      <c r="E212" s="7">
        <v>82.66400146</v>
      </c>
      <c r="F212" s="7">
        <v>99.88352668</v>
      </c>
      <c r="G212" s="7">
        <v>0.0</v>
      </c>
      <c r="H212" s="7">
        <v>0.1164733182</v>
      </c>
      <c r="I212" s="7">
        <v>0.0</v>
      </c>
      <c r="J212" s="7">
        <v>99.67078734</v>
      </c>
      <c r="K212" s="7">
        <v>0.0</v>
      </c>
      <c r="L212" s="7">
        <v>0.3292126628</v>
      </c>
      <c r="M212" s="7">
        <v>0.0</v>
      </c>
      <c r="N212" s="7">
        <v>99.92814447</v>
      </c>
      <c r="O212" s="7">
        <v>0.0</v>
      </c>
      <c r="P212" s="7">
        <v>0.0718555296</v>
      </c>
      <c r="Q212" s="7">
        <v>0.0</v>
      </c>
      <c r="R212" s="8">
        <f t="shared" si="4"/>
        <v>17</v>
      </c>
      <c r="S212" s="8">
        <f t="shared" si="60"/>
        <v>331002656.3</v>
      </c>
      <c r="T212" s="8">
        <f t="shared" si="61"/>
        <v>273620040.6</v>
      </c>
      <c r="U212" s="8">
        <f t="shared" si="7"/>
        <v>57382615.66</v>
      </c>
      <c r="V212" s="8">
        <f t="shared" ref="V212:W212" si="436">T212/1000</f>
        <v>273620.0406</v>
      </c>
      <c r="W212" s="8">
        <f t="shared" si="436"/>
        <v>57382.61566</v>
      </c>
      <c r="X212" s="8">
        <f t="shared" si="9"/>
        <v>17.33599854</v>
      </c>
      <c r="Y212" s="8">
        <f t="shared" si="10"/>
        <v>83</v>
      </c>
      <c r="Z212" s="8">
        <f t="shared" si="11"/>
        <v>18</v>
      </c>
      <c r="AA212" s="8">
        <f t="shared" si="12"/>
        <v>332</v>
      </c>
      <c r="AB212" s="8">
        <f t="shared" ref="AB212:AC212" si="437">ROUNDUP(V212/1000,0)</f>
        <v>274</v>
      </c>
      <c r="AC212" s="8">
        <f t="shared" si="437"/>
        <v>58</v>
      </c>
      <c r="AD212" s="8">
        <f t="shared" si="383"/>
        <v>100</v>
      </c>
      <c r="AE212" s="8">
        <f t="shared" si="15"/>
        <v>1</v>
      </c>
    </row>
    <row r="213" ht="22.5" customHeight="1">
      <c r="A213" s="7" t="s">
        <v>273</v>
      </c>
      <c r="B213" s="7" t="s">
        <v>67</v>
      </c>
      <c r="C213" s="7">
        <f t="shared" si="3"/>
        <v>2</v>
      </c>
      <c r="D213" s="7">
        <v>1380004.375</v>
      </c>
      <c r="E213" s="7">
        <v>34.9260025</v>
      </c>
      <c r="F213" s="7">
        <v>90.48952503</v>
      </c>
      <c r="G213" s="7">
        <v>4.983602562</v>
      </c>
      <c r="H213" s="7">
        <v>3.963153945</v>
      </c>
      <c r="I213" s="7">
        <v>0.5637184626</v>
      </c>
      <c r="J213" s="7">
        <v>88.78250313</v>
      </c>
      <c r="K213" s="7">
        <v>5.902210054</v>
      </c>
      <c r="L213" s="7">
        <v>4.57637573</v>
      </c>
      <c r="M213" s="7">
        <v>0.7389110856</v>
      </c>
      <c r="N213" s="7">
        <v>93.6700363</v>
      </c>
      <c r="O213" s="7">
        <v>3.272056027</v>
      </c>
      <c r="P213" s="7">
        <v>2.820607523</v>
      </c>
      <c r="Q213" s="7">
        <v>0.2373001538</v>
      </c>
      <c r="R213" s="8">
        <f t="shared" si="4"/>
        <v>17</v>
      </c>
      <c r="S213" s="8">
        <f t="shared" si="60"/>
        <v>1380004375</v>
      </c>
      <c r="T213" s="8">
        <f t="shared" si="61"/>
        <v>481980362.5</v>
      </c>
      <c r="U213" s="8">
        <f t="shared" si="7"/>
        <v>898024012.5</v>
      </c>
      <c r="V213" s="8">
        <f t="shared" ref="V213:W213" si="438">T213/1000</f>
        <v>481980.3625</v>
      </c>
      <c r="W213" s="8">
        <f t="shared" si="438"/>
        <v>898024.0125</v>
      </c>
      <c r="X213" s="8">
        <f t="shared" si="9"/>
        <v>65.0739975</v>
      </c>
      <c r="Y213" s="8">
        <f t="shared" si="10"/>
        <v>35</v>
      </c>
      <c r="Z213" s="8">
        <f t="shared" si="11"/>
        <v>66</v>
      </c>
      <c r="AA213" s="8">
        <f t="shared" si="12"/>
        <v>1381</v>
      </c>
      <c r="AB213" s="8">
        <f t="shared" ref="AB213:AC213" si="439">ROUNDUP(V213/1000,0)</f>
        <v>482</v>
      </c>
      <c r="AC213" s="8">
        <f t="shared" si="439"/>
        <v>899</v>
      </c>
      <c r="AD213" s="8">
        <f t="shared" si="383"/>
        <v>90</v>
      </c>
      <c r="AE213" s="8">
        <f t="shared" si="15"/>
        <v>1</v>
      </c>
    </row>
    <row r="214" ht="22.5" customHeight="1">
      <c r="A214" s="7" t="s">
        <v>274</v>
      </c>
      <c r="B214" s="7" t="s">
        <v>47</v>
      </c>
      <c r="C214" s="7">
        <f t="shared" si="3"/>
        <v>3</v>
      </c>
      <c r="D214" s="7">
        <v>1463140.5</v>
      </c>
      <c r="E214" s="7">
        <v>61.71308899</v>
      </c>
      <c r="F214" s="7">
        <v>94.26111059</v>
      </c>
      <c r="G214" s="7">
        <v>0.8147213297</v>
      </c>
      <c r="H214" s="7">
        <v>4.725451938</v>
      </c>
      <c r="I214" s="7">
        <v>0.1987161441</v>
      </c>
      <c r="J214" s="7">
        <v>89.66123351</v>
      </c>
      <c r="K214" s="7">
        <v>1.832679086</v>
      </c>
      <c r="L214" s="7">
        <v>8.506087409</v>
      </c>
      <c r="M214" s="7">
        <v>0.0</v>
      </c>
      <c r="N214" s="7">
        <v>97.11488267</v>
      </c>
      <c r="O214" s="7">
        <v>0.1831784927</v>
      </c>
      <c r="P214" s="7">
        <v>2.37993884</v>
      </c>
      <c r="Q214" s="7">
        <v>0.322</v>
      </c>
      <c r="R214" s="8">
        <f t="shared" si="4"/>
        <v>17</v>
      </c>
      <c r="S214" s="8">
        <f t="shared" si="60"/>
        <v>1463140500</v>
      </c>
      <c r="T214" s="8">
        <f t="shared" si="61"/>
        <v>902949198.8</v>
      </c>
      <c r="U214" s="8">
        <f t="shared" si="7"/>
        <v>560191301.2</v>
      </c>
      <c r="V214" s="8">
        <f t="shared" ref="V214:W214" si="440">T214/1000</f>
        <v>902949.1988</v>
      </c>
      <c r="W214" s="8">
        <f t="shared" si="440"/>
        <v>560191.3012</v>
      </c>
      <c r="X214" s="8">
        <f t="shared" si="9"/>
        <v>38.28691101</v>
      </c>
      <c r="Y214" s="8">
        <f t="shared" si="10"/>
        <v>62</v>
      </c>
      <c r="Z214" s="8">
        <f t="shared" si="11"/>
        <v>39</v>
      </c>
      <c r="AA214" s="8">
        <f t="shared" si="12"/>
        <v>1464</v>
      </c>
      <c r="AB214" s="8">
        <f t="shared" ref="AB214:AC214" si="441">ROUNDUP(V214/1000,0)</f>
        <v>903</v>
      </c>
      <c r="AC214" s="8">
        <f t="shared" si="441"/>
        <v>561</v>
      </c>
      <c r="AD214" s="8">
        <f t="shared" si="383"/>
        <v>94</v>
      </c>
      <c r="AE214" s="8">
        <f t="shared" si="15"/>
        <v>1</v>
      </c>
    </row>
    <row r="215" ht="22.5" customHeight="1">
      <c r="C215" s="8" t="str">
        <f t="shared" si="3"/>
        <v/>
      </c>
    </row>
    <row r="216" ht="22.5" customHeight="1">
      <c r="C216" s="8" t="str">
        <f t="shared" si="3"/>
        <v/>
      </c>
    </row>
    <row r="217" ht="22.5" customHeight="1">
      <c r="C217" s="8" t="str">
        <f t="shared" si="3"/>
        <v/>
      </c>
    </row>
    <row r="218" ht="22.5" customHeight="1">
      <c r="C218" s="8" t="str">
        <f t="shared" si="3"/>
        <v/>
      </c>
    </row>
    <row r="219" ht="22.5" customHeight="1">
      <c r="C219" s="8" t="str">
        <f t="shared" si="3"/>
        <v/>
      </c>
    </row>
    <row r="220" ht="22.5" customHeight="1">
      <c r="C220" s="8" t="str">
        <f t="shared" si="3"/>
        <v/>
      </c>
    </row>
    <row r="221" ht="22.5" customHeight="1">
      <c r="C221" s="8" t="str">
        <f t="shared" si="3"/>
        <v/>
      </c>
    </row>
    <row r="222" ht="22.5" customHeight="1">
      <c r="C222" s="8" t="str">
        <f t="shared" si="3"/>
        <v/>
      </c>
    </row>
    <row r="223" ht="22.5" customHeight="1">
      <c r="C223" s="8" t="str">
        <f t="shared" si="3"/>
        <v/>
      </c>
    </row>
    <row r="224" ht="22.5" customHeight="1">
      <c r="C224" s="8" t="str">
        <f t="shared" si="3"/>
        <v/>
      </c>
    </row>
    <row r="225" ht="22.5" customHeight="1">
      <c r="C225" s="8" t="str">
        <f t="shared" si="3"/>
        <v/>
      </c>
    </row>
    <row r="226" ht="22.5" customHeight="1">
      <c r="C226" s="8" t="str">
        <f t="shared" si="3"/>
        <v/>
      </c>
    </row>
    <row r="227" ht="22.5" customHeight="1">
      <c r="C227" s="8" t="str">
        <f t="shared" si="3"/>
        <v/>
      </c>
    </row>
    <row r="228" ht="22.5" customHeight="1">
      <c r="C228" s="8" t="str">
        <f t="shared" si="3"/>
        <v/>
      </c>
    </row>
    <row r="229" ht="22.5" customHeight="1">
      <c r="C229" s="8" t="str">
        <f t="shared" si="3"/>
        <v/>
      </c>
    </row>
    <row r="230" ht="22.5" customHeight="1">
      <c r="C230" s="8" t="str">
        <f t="shared" si="3"/>
        <v/>
      </c>
    </row>
    <row r="231" ht="22.5" customHeight="1">
      <c r="C231" s="8" t="str">
        <f t="shared" si="3"/>
        <v/>
      </c>
    </row>
    <row r="232" ht="22.5" customHeight="1">
      <c r="C232" s="8" t="str">
        <f t="shared" si="3"/>
        <v/>
      </c>
    </row>
    <row r="233" ht="22.5" customHeight="1">
      <c r="C233" s="8" t="str">
        <f t="shared" si="3"/>
        <v/>
      </c>
    </row>
    <row r="234" ht="22.5" customHeight="1">
      <c r="C234" s="8" t="str">
        <f t="shared" si="3"/>
        <v/>
      </c>
    </row>
    <row r="235" ht="22.5" customHeight="1">
      <c r="C235" s="8" t="str">
        <f t="shared" si="3"/>
        <v/>
      </c>
    </row>
    <row r="236" ht="22.5" customHeight="1">
      <c r="C236" s="8" t="str">
        <f t="shared" si="3"/>
        <v/>
      </c>
    </row>
    <row r="237" ht="22.5" customHeight="1">
      <c r="C237" s="8" t="str">
        <f t="shared" si="3"/>
        <v/>
      </c>
    </row>
    <row r="238" ht="22.5" customHeight="1">
      <c r="C238" s="8" t="str">
        <f t="shared" si="3"/>
        <v/>
      </c>
    </row>
    <row r="239" ht="22.5" customHeight="1">
      <c r="C239" s="8" t="str">
        <f t="shared" si="3"/>
        <v/>
      </c>
    </row>
    <row r="240" ht="22.5" customHeight="1">
      <c r="C240" s="8" t="str">
        <f t="shared" si="3"/>
        <v/>
      </c>
    </row>
    <row r="241" ht="22.5" customHeight="1">
      <c r="C241" s="8" t="str">
        <f t="shared" si="3"/>
        <v/>
      </c>
    </row>
    <row r="242" ht="22.5" customHeight="1">
      <c r="C242" s="8" t="str">
        <f t="shared" si="3"/>
        <v/>
      </c>
    </row>
    <row r="243" ht="22.5" customHeight="1">
      <c r="C243" s="8" t="str">
        <f t="shared" si="3"/>
        <v/>
      </c>
    </row>
    <row r="244" ht="22.5" customHeight="1">
      <c r="C244" s="8" t="str">
        <f t="shared" si="3"/>
        <v/>
      </c>
    </row>
    <row r="245" ht="22.5" customHeight="1">
      <c r="C245" s="8" t="str">
        <f t="shared" si="3"/>
        <v/>
      </c>
    </row>
    <row r="246" ht="22.5" customHeight="1">
      <c r="C246" s="8" t="str">
        <f t="shared" si="3"/>
        <v/>
      </c>
    </row>
    <row r="247" ht="22.5" customHeight="1">
      <c r="C247" s="8" t="str">
        <f t="shared" si="3"/>
        <v/>
      </c>
    </row>
    <row r="248" ht="22.5" customHeight="1">
      <c r="C248" s="8" t="str">
        <f t="shared" si="3"/>
        <v/>
      </c>
    </row>
    <row r="249" ht="22.5" customHeight="1">
      <c r="C249" s="8" t="str">
        <f t="shared" si="3"/>
        <v/>
      </c>
    </row>
    <row r="250" ht="22.5" customHeight="1">
      <c r="C250" s="8" t="str">
        <f t="shared" si="3"/>
        <v/>
      </c>
    </row>
    <row r="251" ht="22.5" customHeight="1">
      <c r="C251" s="8" t="str">
        <f t="shared" si="3"/>
        <v/>
      </c>
    </row>
    <row r="252" ht="22.5" customHeight="1">
      <c r="C252" s="8" t="str">
        <f t="shared" si="3"/>
        <v/>
      </c>
    </row>
    <row r="253" ht="22.5" customHeight="1">
      <c r="C253" s="8" t="str">
        <f t="shared" si="3"/>
        <v/>
      </c>
    </row>
    <row r="254" ht="22.5" customHeight="1">
      <c r="C254" s="8" t="str">
        <f t="shared" si="3"/>
        <v/>
      </c>
    </row>
    <row r="255" ht="22.5" customHeight="1">
      <c r="C255" s="8" t="str">
        <f t="shared" si="3"/>
        <v/>
      </c>
    </row>
    <row r="256" ht="22.5" customHeight="1">
      <c r="C256" s="8" t="str">
        <f t="shared" si="3"/>
        <v/>
      </c>
    </row>
    <row r="257" ht="22.5" customHeight="1">
      <c r="C257" s="8" t="str">
        <f t="shared" si="3"/>
        <v/>
      </c>
    </row>
    <row r="258" ht="22.5" customHeight="1">
      <c r="C258" s="8" t="str">
        <f t="shared" si="3"/>
        <v/>
      </c>
    </row>
    <row r="259" ht="22.5" customHeight="1">
      <c r="C259" s="8" t="str">
        <f t="shared" si="3"/>
        <v/>
      </c>
    </row>
    <row r="260" ht="22.5" customHeight="1">
      <c r="C260" s="8" t="str">
        <f t="shared" si="3"/>
        <v/>
      </c>
    </row>
    <row r="261" ht="22.5" customHeight="1">
      <c r="C261" s="8" t="str">
        <f t="shared" si="3"/>
        <v/>
      </c>
    </row>
    <row r="262" ht="22.5" customHeight="1">
      <c r="C262" s="8" t="str">
        <f t="shared" si="3"/>
        <v/>
      </c>
    </row>
    <row r="263" ht="22.5" customHeight="1">
      <c r="C263" s="8" t="str">
        <f t="shared" si="3"/>
        <v/>
      </c>
    </row>
    <row r="264" ht="22.5" customHeight="1">
      <c r="C264" s="8" t="str">
        <f t="shared" si="3"/>
        <v/>
      </c>
    </row>
    <row r="265" ht="22.5" customHeight="1">
      <c r="C265" s="8" t="str">
        <f t="shared" si="3"/>
        <v/>
      </c>
    </row>
    <row r="266" ht="22.5" customHeight="1">
      <c r="C266" s="8" t="str">
        <f t="shared" si="3"/>
        <v/>
      </c>
    </row>
    <row r="267" ht="22.5" customHeight="1">
      <c r="C267" s="8" t="str">
        <f t="shared" si="3"/>
        <v/>
      </c>
    </row>
    <row r="268" ht="22.5" customHeight="1">
      <c r="C268" s="8" t="str">
        <f t="shared" si="3"/>
        <v/>
      </c>
    </row>
    <row r="269" ht="22.5" customHeight="1">
      <c r="C269" s="8" t="str">
        <f t="shared" si="3"/>
        <v/>
      </c>
    </row>
    <row r="270" ht="22.5" customHeight="1">
      <c r="C270" s="8" t="str">
        <f t="shared" si="3"/>
        <v/>
      </c>
    </row>
    <row r="271" ht="22.5" customHeight="1">
      <c r="C271" s="8" t="str">
        <f t="shared" si="3"/>
        <v/>
      </c>
    </row>
    <row r="272" ht="22.5" customHeight="1">
      <c r="C272" s="8" t="str">
        <f t="shared" si="3"/>
        <v/>
      </c>
    </row>
    <row r="273" ht="22.5" customHeight="1">
      <c r="C273" s="8" t="str">
        <f t="shared" si="3"/>
        <v/>
      </c>
    </row>
    <row r="274" ht="22.5" customHeight="1">
      <c r="C274" s="8" t="str">
        <f t="shared" si="3"/>
        <v/>
      </c>
    </row>
    <row r="275" ht="22.5" customHeight="1">
      <c r="C275" s="8" t="str">
        <f t="shared" si="3"/>
        <v/>
      </c>
    </row>
    <row r="276" ht="22.5" customHeight="1">
      <c r="C276" s="8" t="str">
        <f t="shared" si="3"/>
        <v/>
      </c>
    </row>
    <row r="277" ht="22.5" customHeight="1">
      <c r="C277" s="8" t="str">
        <f t="shared" si="3"/>
        <v/>
      </c>
    </row>
    <row r="278" ht="22.5" customHeight="1">
      <c r="C278" s="8" t="str">
        <f t="shared" si="3"/>
        <v/>
      </c>
    </row>
    <row r="279" ht="22.5" customHeight="1">
      <c r="C279" s="8" t="str">
        <f t="shared" si="3"/>
        <v/>
      </c>
    </row>
    <row r="280" ht="22.5" customHeight="1">
      <c r="C280" s="8" t="str">
        <f t="shared" si="3"/>
        <v/>
      </c>
    </row>
    <row r="281" ht="22.5" customHeight="1">
      <c r="C281" s="8" t="str">
        <f t="shared" si="3"/>
        <v/>
      </c>
    </row>
    <row r="282" ht="22.5" customHeight="1">
      <c r="C282" s="8" t="str">
        <f t="shared" si="3"/>
        <v/>
      </c>
    </row>
    <row r="283" ht="22.5" customHeight="1">
      <c r="C283" s="8" t="str">
        <f t="shared" si="3"/>
        <v/>
      </c>
    </row>
    <row r="284" ht="22.5" customHeight="1">
      <c r="C284" s="8" t="str">
        <f t="shared" si="3"/>
        <v/>
      </c>
    </row>
    <row r="285" ht="22.5" customHeight="1">
      <c r="C285" s="8" t="str">
        <f t="shared" si="3"/>
        <v/>
      </c>
    </row>
    <row r="286" ht="22.5" customHeight="1">
      <c r="C286" s="8" t="str">
        <f t="shared" si="3"/>
        <v/>
      </c>
    </row>
    <row r="287" ht="22.5" customHeight="1">
      <c r="C287" s="8" t="str">
        <f t="shared" si="3"/>
        <v/>
      </c>
    </row>
    <row r="288" ht="22.5" customHeight="1">
      <c r="C288" s="8" t="str">
        <f t="shared" si="3"/>
        <v/>
      </c>
    </row>
    <row r="289" ht="22.5" customHeight="1">
      <c r="C289" s="8" t="str">
        <f t="shared" si="3"/>
        <v/>
      </c>
    </row>
    <row r="290" ht="22.5" customHeight="1">
      <c r="C290" s="8" t="str">
        <f t="shared" si="3"/>
        <v/>
      </c>
    </row>
    <row r="291" ht="22.5" customHeight="1">
      <c r="C291" s="8" t="str">
        <f t="shared" si="3"/>
        <v/>
      </c>
    </row>
    <row r="292" ht="22.5" customHeight="1">
      <c r="C292" s="8" t="str">
        <f t="shared" si="3"/>
        <v/>
      </c>
    </row>
    <row r="293" ht="22.5" customHeight="1">
      <c r="C293" s="8" t="str">
        <f t="shared" si="3"/>
        <v/>
      </c>
    </row>
    <row r="294" ht="22.5" customHeight="1">
      <c r="C294" s="8" t="str">
        <f t="shared" si="3"/>
        <v/>
      </c>
    </row>
    <row r="295" ht="22.5" customHeight="1">
      <c r="C295" s="8" t="str">
        <f t="shared" si="3"/>
        <v/>
      </c>
    </row>
    <row r="296" ht="22.5" customHeight="1">
      <c r="C296" s="8" t="str">
        <f t="shared" si="3"/>
        <v/>
      </c>
    </row>
    <row r="297" ht="22.5" customHeight="1">
      <c r="C297" s="8" t="str">
        <f t="shared" si="3"/>
        <v/>
      </c>
    </row>
    <row r="298" ht="22.5" customHeight="1">
      <c r="C298" s="8" t="str">
        <f t="shared" si="3"/>
        <v/>
      </c>
    </row>
    <row r="299" ht="22.5" customHeight="1">
      <c r="C299" s="8" t="str">
        <f t="shared" si="3"/>
        <v/>
      </c>
    </row>
    <row r="300" ht="22.5" customHeight="1">
      <c r="C300" s="8" t="str">
        <f t="shared" si="3"/>
        <v/>
      </c>
    </row>
    <row r="301" ht="22.5" customHeight="1">
      <c r="C301" s="8" t="str">
        <f t="shared" si="3"/>
        <v/>
      </c>
    </row>
    <row r="302" ht="22.5" customHeight="1">
      <c r="C302" s="8" t="str">
        <f t="shared" si="3"/>
        <v/>
      </c>
    </row>
    <row r="303" ht="22.5" customHeight="1">
      <c r="C303" s="8" t="str">
        <f t="shared" si="3"/>
        <v/>
      </c>
    </row>
    <row r="304" ht="22.5" customHeight="1">
      <c r="C304" s="8" t="str">
        <f t="shared" si="3"/>
        <v/>
      </c>
    </row>
    <row r="305" ht="22.5" customHeight="1">
      <c r="C305" s="8" t="str">
        <f t="shared" si="3"/>
        <v/>
      </c>
    </row>
    <row r="306" ht="22.5" customHeight="1">
      <c r="C306" s="8" t="str">
        <f t="shared" si="3"/>
        <v/>
      </c>
    </row>
    <row r="307" ht="22.5" customHeight="1">
      <c r="C307" s="8" t="str">
        <f t="shared" si="3"/>
        <v/>
      </c>
    </row>
    <row r="308" ht="22.5" customHeight="1">
      <c r="C308" s="8" t="str">
        <f t="shared" si="3"/>
        <v/>
      </c>
    </row>
    <row r="309" ht="22.5" customHeight="1">
      <c r="C309" s="8" t="str">
        <f t="shared" si="3"/>
        <v/>
      </c>
    </row>
    <row r="310" ht="22.5" customHeight="1">
      <c r="C310" s="8" t="str">
        <f t="shared" si="3"/>
        <v/>
      </c>
    </row>
    <row r="311" ht="22.5" customHeight="1">
      <c r="C311" s="8" t="str">
        <f t="shared" si="3"/>
        <v/>
      </c>
    </row>
    <row r="312" ht="22.5" customHeight="1">
      <c r="C312" s="8" t="str">
        <f t="shared" si="3"/>
        <v/>
      </c>
    </row>
    <row r="313" ht="22.5" customHeight="1">
      <c r="C313" s="8" t="str">
        <f t="shared" si="3"/>
        <v/>
      </c>
    </row>
    <row r="314" ht="22.5" customHeight="1">
      <c r="C314" s="8" t="str">
        <f t="shared" si="3"/>
        <v/>
      </c>
    </row>
    <row r="315" ht="22.5" customHeight="1">
      <c r="C315" s="8" t="str">
        <f t="shared" si="3"/>
        <v/>
      </c>
    </row>
    <row r="316" ht="22.5" customHeight="1">
      <c r="C316" s="8" t="str">
        <f t="shared" si="3"/>
        <v/>
      </c>
    </row>
    <row r="317" ht="22.5" customHeight="1">
      <c r="C317" s="8" t="str">
        <f t="shared" si="3"/>
        <v/>
      </c>
    </row>
    <row r="318" ht="22.5" customHeight="1">
      <c r="C318" s="8" t="str">
        <f t="shared" si="3"/>
        <v/>
      </c>
    </row>
    <row r="319" ht="22.5" customHeight="1">
      <c r="C319" s="8" t="str">
        <f t="shared" si="3"/>
        <v/>
      </c>
    </row>
    <row r="320" ht="22.5" customHeight="1">
      <c r="C320" s="8" t="str">
        <f t="shared" si="3"/>
        <v/>
      </c>
    </row>
    <row r="321" ht="22.5" customHeight="1">
      <c r="C321" s="8" t="str">
        <f t="shared" si="3"/>
        <v/>
      </c>
    </row>
    <row r="322" ht="22.5" customHeight="1">
      <c r="C322" s="8" t="str">
        <f t="shared" si="3"/>
        <v/>
      </c>
    </row>
    <row r="323" ht="22.5" customHeight="1">
      <c r="C323" s="8" t="str">
        <f t="shared" si="3"/>
        <v/>
      </c>
    </row>
    <row r="324" ht="22.5" customHeight="1">
      <c r="C324" s="8" t="str">
        <f t="shared" si="3"/>
        <v/>
      </c>
    </row>
    <row r="325" ht="22.5" customHeight="1">
      <c r="C325" s="8" t="str">
        <f t="shared" si="3"/>
        <v/>
      </c>
    </row>
    <row r="326" ht="22.5" customHeight="1">
      <c r="C326" s="8" t="str">
        <f t="shared" si="3"/>
        <v/>
      </c>
    </row>
    <row r="327" ht="22.5" customHeight="1">
      <c r="C327" s="8" t="str">
        <f t="shared" si="3"/>
        <v/>
      </c>
    </row>
    <row r="328" ht="22.5" customHeight="1">
      <c r="C328" s="8" t="str">
        <f t="shared" si="3"/>
        <v/>
      </c>
    </row>
    <row r="329" ht="22.5" customHeight="1">
      <c r="C329" s="8" t="str">
        <f t="shared" si="3"/>
        <v/>
      </c>
    </row>
    <row r="330" ht="22.5" customHeight="1">
      <c r="C330" s="8" t="str">
        <f t="shared" si="3"/>
        <v/>
      </c>
    </row>
    <row r="331" ht="22.5" customHeight="1">
      <c r="C331" s="8" t="str">
        <f t="shared" si="3"/>
        <v/>
      </c>
    </row>
    <row r="332" ht="22.5" customHeight="1">
      <c r="C332" s="8" t="str">
        <f t="shared" si="3"/>
        <v/>
      </c>
    </row>
    <row r="333" ht="22.5" customHeight="1">
      <c r="C333" s="8" t="str">
        <f t="shared" si="3"/>
        <v/>
      </c>
    </row>
    <row r="334" ht="22.5" customHeight="1">
      <c r="C334" s="8" t="str">
        <f t="shared" si="3"/>
        <v/>
      </c>
    </row>
    <row r="335" ht="22.5" customHeight="1">
      <c r="C335" s="8" t="str">
        <f t="shared" si="3"/>
        <v/>
      </c>
    </row>
    <row r="336" ht="22.5" customHeight="1">
      <c r="C336" s="8" t="str">
        <f t="shared" si="3"/>
        <v/>
      </c>
    </row>
    <row r="337" ht="22.5" customHeight="1">
      <c r="C337" s="8" t="str">
        <f t="shared" si="3"/>
        <v/>
      </c>
    </row>
    <row r="338" ht="22.5" customHeight="1">
      <c r="C338" s="8" t="str">
        <f t="shared" si="3"/>
        <v/>
      </c>
    </row>
    <row r="339" ht="22.5" customHeight="1">
      <c r="C339" s="8" t="str">
        <f t="shared" si="3"/>
        <v/>
      </c>
    </row>
    <row r="340" ht="22.5" customHeight="1">
      <c r="C340" s="8" t="str">
        <f t="shared" si="3"/>
        <v/>
      </c>
    </row>
    <row r="341" ht="22.5" customHeight="1">
      <c r="C341" s="8" t="str">
        <f t="shared" si="3"/>
        <v/>
      </c>
    </row>
    <row r="342" ht="22.5" customHeight="1">
      <c r="C342" s="8" t="str">
        <f t="shared" si="3"/>
        <v/>
      </c>
    </row>
    <row r="343" ht="22.5" customHeight="1">
      <c r="C343" s="8" t="str">
        <f t="shared" si="3"/>
        <v/>
      </c>
    </row>
    <row r="344" ht="22.5" customHeight="1">
      <c r="C344" s="8" t="str">
        <f t="shared" si="3"/>
        <v/>
      </c>
    </row>
    <row r="345" ht="22.5" customHeight="1">
      <c r="C345" s="8" t="str">
        <f t="shared" si="3"/>
        <v/>
      </c>
    </row>
    <row r="346" ht="22.5" customHeight="1">
      <c r="C346" s="8" t="str">
        <f t="shared" si="3"/>
        <v/>
      </c>
    </row>
    <row r="347" ht="22.5" customHeight="1">
      <c r="C347" s="8" t="str">
        <f t="shared" si="3"/>
        <v/>
      </c>
    </row>
    <row r="348" ht="22.5" customHeight="1">
      <c r="C348" s="8" t="str">
        <f t="shared" si="3"/>
        <v/>
      </c>
    </row>
    <row r="349" ht="22.5" customHeight="1">
      <c r="C349" s="8" t="str">
        <f t="shared" si="3"/>
        <v/>
      </c>
    </row>
    <row r="350" ht="22.5" customHeight="1">
      <c r="C350" s="8" t="str">
        <f t="shared" si="3"/>
        <v/>
      </c>
    </row>
    <row r="351" ht="22.5" customHeight="1">
      <c r="C351" s="8" t="str">
        <f t="shared" si="3"/>
        <v/>
      </c>
    </row>
    <row r="352" ht="22.5" customHeight="1">
      <c r="C352" s="8" t="str">
        <f t="shared" si="3"/>
        <v/>
      </c>
    </row>
    <row r="353" ht="22.5" customHeight="1">
      <c r="C353" s="8" t="str">
        <f t="shared" si="3"/>
        <v/>
      </c>
    </row>
    <row r="354" ht="22.5" customHeight="1">
      <c r="C354" s="8" t="str">
        <f t="shared" si="3"/>
        <v/>
      </c>
    </row>
    <row r="355" ht="22.5" customHeight="1">
      <c r="C355" s="8" t="str">
        <f t="shared" si="3"/>
        <v/>
      </c>
    </row>
    <row r="356" ht="22.5" customHeight="1">
      <c r="C356" s="8" t="str">
        <f t="shared" si="3"/>
        <v/>
      </c>
    </row>
    <row r="357" ht="22.5" customHeight="1">
      <c r="C357" s="8" t="str">
        <f t="shared" si="3"/>
        <v/>
      </c>
    </row>
    <row r="358" ht="22.5" customHeight="1">
      <c r="C358" s="8" t="str">
        <f t="shared" si="3"/>
        <v/>
      </c>
    </row>
    <row r="359" ht="22.5" customHeight="1">
      <c r="C359" s="8" t="str">
        <f t="shared" si="3"/>
        <v/>
      </c>
    </row>
    <row r="360" ht="22.5" customHeight="1">
      <c r="C360" s="8" t="str">
        <f t="shared" si="3"/>
        <v/>
      </c>
    </row>
    <row r="361" ht="22.5" customHeight="1">
      <c r="C361" s="8" t="str">
        <f t="shared" si="3"/>
        <v/>
      </c>
    </row>
    <row r="362" ht="22.5" customHeight="1">
      <c r="C362" s="8" t="str">
        <f t="shared" si="3"/>
        <v/>
      </c>
    </row>
    <row r="363" ht="22.5" customHeight="1">
      <c r="C363" s="8" t="str">
        <f t="shared" si="3"/>
        <v/>
      </c>
    </row>
    <row r="364" ht="22.5" customHeight="1">
      <c r="C364" s="8" t="str">
        <f t="shared" si="3"/>
        <v/>
      </c>
    </row>
    <row r="365" ht="22.5" customHeight="1">
      <c r="C365" s="8" t="str">
        <f t="shared" si="3"/>
        <v/>
      </c>
    </row>
    <row r="366" ht="22.5" customHeight="1">
      <c r="C366" s="8" t="str">
        <f t="shared" si="3"/>
        <v/>
      </c>
    </row>
    <row r="367" ht="22.5" customHeight="1">
      <c r="C367" s="8" t="str">
        <f t="shared" si="3"/>
        <v/>
      </c>
    </row>
    <row r="368" ht="22.5" customHeight="1">
      <c r="C368" s="8" t="str">
        <f t="shared" si="3"/>
        <v/>
      </c>
    </row>
    <row r="369" ht="22.5" customHeight="1">
      <c r="C369" s="8" t="str">
        <f t="shared" si="3"/>
        <v/>
      </c>
    </row>
    <row r="370" ht="22.5" customHeight="1">
      <c r="C370" s="8" t="str">
        <f t="shared" si="3"/>
        <v/>
      </c>
    </row>
    <row r="371" ht="22.5" customHeight="1">
      <c r="C371" s="8" t="str">
        <f t="shared" si="3"/>
        <v/>
      </c>
    </row>
    <row r="372" ht="22.5" customHeight="1">
      <c r="C372" s="8" t="str">
        <f t="shared" si="3"/>
        <v/>
      </c>
    </row>
    <row r="373" ht="22.5" customHeight="1">
      <c r="C373" s="8" t="str">
        <f t="shared" si="3"/>
        <v/>
      </c>
    </row>
    <row r="374" ht="22.5" customHeight="1">
      <c r="C374" s="8" t="str">
        <f t="shared" si="3"/>
        <v/>
      </c>
    </row>
    <row r="375" ht="22.5" customHeight="1">
      <c r="C375" s="8" t="str">
        <f t="shared" si="3"/>
        <v/>
      </c>
    </row>
    <row r="376" ht="22.5" customHeight="1">
      <c r="C376" s="8" t="str">
        <f t="shared" si="3"/>
        <v/>
      </c>
    </row>
    <row r="377" ht="22.5" customHeight="1">
      <c r="C377" s="8" t="str">
        <f t="shared" si="3"/>
        <v/>
      </c>
    </row>
    <row r="378" ht="22.5" customHeight="1">
      <c r="C378" s="8" t="str">
        <f t="shared" si="3"/>
        <v/>
      </c>
    </row>
    <row r="379" ht="22.5" customHeight="1">
      <c r="C379" s="8" t="str">
        <f t="shared" si="3"/>
        <v/>
      </c>
    </row>
    <row r="380" ht="22.5" customHeight="1">
      <c r="C380" s="8" t="str">
        <f t="shared" si="3"/>
        <v/>
      </c>
    </row>
    <row r="381" ht="22.5" customHeight="1">
      <c r="C381" s="8" t="str">
        <f t="shared" si="3"/>
        <v/>
      </c>
    </row>
    <row r="382" ht="22.5" customHeight="1">
      <c r="C382" s="8" t="str">
        <f t="shared" si="3"/>
        <v/>
      </c>
    </row>
    <row r="383" ht="22.5" customHeight="1">
      <c r="C383" s="8" t="str">
        <f t="shared" si="3"/>
        <v/>
      </c>
    </row>
    <row r="384" ht="22.5" customHeight="1">
      <c r="C384" s="8" t="str">
        <f t="shared" si="3"/>
        <v/>
      </c>
    </row>
    <row r="385" ht="22.5" customHeight="1">
      <c r="C385" s="8" t="str">
        <f t="shared" si="3"/>
        <v/>
      </c>
    </row>
    <row r="386" ht="22.5" customHeight="1">
      <c r="C386" s="8" t="str">
        <f t="shared" si="3"/>
        <v/>
      </c>
    </row>
    <row r="387" ht="22.5" customHeight="1">
      <c r="C387" s="8" t="str">
        <f t="shared" si="3"/>
        <v/>
      </c>
    </row>
    <row r="388" ht="22.5" customHeight="1">
      <c r="C388" s="8" t="str">
        <f t="shared" si="3"/>
        <v/>
      </c>
    </row>
    <row r="389" ht="22.5" customHeight="1">
      <c r="C389" s="8" t="str">
        <f t="shared" si="3"/>
        <v/>
      </c>
    </row>
    <row r="390" ht="22.5" customHeight="1">
      <c r="C390" s="8" t="str">
        <f t="shared" si="3"/>
        <v/>
      </c>
    </row>
    <row r="391" ht="22.5" customHeight="1">
      <c r="C391" s="8" t="str">
        <f t="shared" si="3"/>
        <v/>
      </c>
    </row>
    <row r="392" ht="22.5" customHeight="1">
      <c r="C392" s="8" t="str">
        <f t="shared" si="3"/>
        <v/>
      </c>
    </row>
    <row r="393" ht="22.5" customHeight="1">
      <c r="C393" s="8" t="str">
        <f t="shared" si="3"/>
        <v/>
      </c>
    </row>
    <row r="394" ht="22.5" customHeight="1">
      <c r="C394" s="8" t="str">
        <f t="shared" si="3"/>
        <v/>
      </c>
    </row>
    <row r="395" ht="22.5" customHeight="1">
      <c r="C395" s="8" t="str">
        <f t="shared" si="3"/>
        <v/>
      </c>
    </row>
    <row r="396" ht="22.5" customHeight="1">
      <c r="C396" s="8" t="str">
        <f t="shared" si="3"/>
        <v/>
      </c>
    </row>
    <row r="397" ht="22.5" customHeight="1">
      <c r="C397" s="8" t="str">
        <f t="shared" si="3"/>
        <v/>
      </c>
    </row>
    <row r="398" ht="22.5" customHeight="1">
      <c r="C398" s="8" t="str">
        <f t="shared" si="3"/>
        <v/>
      </c>
    </row>
    <row r="399" ht="22.5" customHeight="1">
      <c r="C399" s="8" t="str">
        <f t="shared" si="3"/>
        <v/>
      </c>
    </row>
    <row r="400" ht="22.5" customHeight="1">
      <c r="C400" s="8" t="str">
        <f t="shared" si="3"/>
        <v/>
      </c>
    </row>
    <row r="401" ht="22.5" customHeight="1">
      <c r="C401" s="8" t="str">
        <f t="shared" si="3"/>
        <v/>
      </c>
    </row>
    <row r="402" ht="22.5" customHeight="1">
      <c r="C402" s="8" t="str">
        <f t="shared" si="3"/>
        <v/>
      </c>
    </row>
    <row r="403" ht="22.5" customHeight="1">
      <c r="C403" s="8" t="str">
        <f t="shared" si="3"/>
        <v/>
      </c>
    </row>
    <row r="404" ht="22.5" customHeight="1">
      <c r="C404" s="8" t="str">
        <f t="shared" si="3"/>
        <v/>
      </c>
    </row>
    <row r="405" ht="22.5" customHeight="1">
      <c r="C405" s="8" t="str">
        <f t="shared" si="3"/>
        <v/>
      </c>
    </row>
    <row r="406" ht="22.5" customHeight="1">
      <c r="C406" s="8" t="str">
        <f t="shared" si="3"/>
        <v/>
      </c>
    </row>
    <row r="407" ht="22.5" customHeight="1">
      <c r="C407" s="8" t="str">
        <f t="shared" si="3"/>
        <v/>
      </c>
    </row>
    <row r="408" ht="22.5" customHeight="1">
      <c r="C408" s="8" t="str">
        <f t="shared" si="3"/>
        <v/>
      </c>
    </row>
    <row r="409" ht="22.5" customHeight="1">
      <c r="C409" s="8" t="str">
        <f t="shared" si="3"/>
        <v/>
      </c>
    </row>
    <row r="410" ht="22.5" customHeight="1">
      <c r="C410" s="8" t="str">
        <f t="shared" si="3"/>
        <v/>
      </c>
    </row>
    <row r="411" ht="22.5" customHeight="1">
      <c r="C411" s="8" t="str">
        <f t="shared" si="3"/>
        <v/>
      </c>
    </row>
    <row r="412" ht="22.5" customHeight="1">
      <c r="C412" s="8" t="str">
        <f t="shared" si="3"/>
        <v/>
      </c>
    </row>
    <row r="413" ht="22.5" customHeight="1">
      <c r="C413" s="8" t="str">
        <f t="shared" si="3"/>
        <v/>
      </c>
    </row>
    <row r="414" ht="22.5" customHeight="1">
      <c r="C414" s="8" t="str">
        <f t="shared" si="3"/>
        <v/>
      </c>
    </row>
    <row r="415" ht="22.5" customHeight="1">
      <c r="C415" s="8" t="str">
        <f t="shared" si="3"/>
        <v/>
      </c>
    </row>
    <row r="416" ht="22.5" customHeight="1">
      <c r="C416" s="8" t="str">
        <f t="shared" si="3"/>
        <v/>
      </c>
    </row>
    <row r="417" ht="22.5" customHeight="1">
      <c r="C417" s="8" t="str">
        <f t="shared" si="3"/>
        <v/>
      </c>
    </row>
    <row r="418" ht="22.5" customHeight="1">
      <c r="C418" s="8" t="str">
        <f t="shared" si="3"/>
        <v/>
      </c>
    </row>
    <row r="419" ht="22.5" customHeight="1">
      <c r="C419" s="8" t="str">
        <f t="shared" si="3"/>
        <v/>
      </c>
    </row>
    <row r="420" ht="22.5" customHeight="1">
      <c r="C420" s="8" t="str">
        <f t="shared" si="3"/>
        <v/>
      </c>
    </row>
    <row r="421" ht="22.5" customHeight="1">
      <c r="C421" s="8" t="str">
        <f t="shared" si="3"/>
        <v/>
      </c>
    </row>
    <row r="422" ht="22.5" customHeight="1">
      <c r="C422" s="8" t="str">
        <f t="shared" si="3"/>
        <v/>
      </c>
    </row>
    <row r="423" ht="22.5" customHeight="1">
      <c r="C423" s="8" t="str">
        <f t="shared" si="3"/>
        <v/>
      </c>
    </row>
    <row r="424" ht="22.5" customHeight="1">
      <c r="C424" s="8" t="str">
        <f t="shared" si="3"/>
        <v/>
      </c>
    </row>
    <row r="425" ht="22.5" customHeight="1">
      <c r="C425" s="8" t="str">
        <f t="shared" si="3"/>
        <v/>
      </c>
    </row>
    <row r="426" ht="22.5" customHeight="1">
      <c r="C426" s="8" t="str">
        <f t="shared" si="3"/>
        <v/>
      </c>
    </row>
    <row r="427" ht="22.5" customHeight="1">
      <c r="C427" s="8" t="str">
        <f t="shared" si="3"/>
        <v/>
      </c>
    </row>
    <row r="428" ht="22.5" customHeight="1">
      <c r="C428" s="8" t="str">
        <f t="shared" si="3"/>
        <v/>
      </c>
    </row>
    <row r="429" ht="22.5" customHeight="1">
      <c r="C429" s="8" t="str">
        <f t="shared" si="3"/>
        <v/>
      </c>
    </row>
    <row r="430" ht="22.5" customHeight="1">
      <c r="C430" s="8" t="str">
        <f t="shared" si="3"/>
        <v/>
      </c>
    </row>
    <row r="431" ht="22.5" customHeight="1">
      <c r="C431" s="8" t="str">
        <f t="shared" si="3"/>
        <v/>
      </c>
    </row>
    <row r="432" ht="22.5" customHeight="1">
      <c r="C432" s="8" t="str">
        <f t="shared" si="3"/>
        <v/>
      </c>
    </row>
    <row r="433" ht="22.5" customHeight="1">
      <c r="C433" s="8" t="str">
        <f t="shared" si="3"/>
        <v/>
      </c>
    </row>
    <row r="434" ht="22.5" customHeight="1">
      <c r="C434" s="8" t="str">
        <f t="shared" si="3"/>
        <v/>
      </c>
    </row>
    <row r="435" ht="22.5" customHeight="1">
      <c r="C435" s="8" t="str">
        <f t="shared" si="3"/>
        <v/>
      </c>
    </row>
    <row r="436" ht="22.5" customHeight="1">
      <c r="C436" s="8" t="str">
        <f t="shared" si="3"/>
        <v/>
      </c>
    </row>
    <row r="437" ht="22.5" customHeight="1">
      <c r="C437" s="8" t="str">
        <f t="shared" si="3"/>
        <v/>
      </c>
    </row>
    <row r="438" ht="22.5" customHeight="1">
      <c r="C438" s="8" t="str">
        <f t="shared" si="3"/>
        <v/>
      </c>
    </row>
    <row r="439" ht="22.5" customHeight="1">
      <c r="C439" s="8" t="str">
        <f t="shared" si="3"/>
        <v/>
      </c>
    </row>
    <row r="440" ht="22.5" customHeight="1">
      <c r="C440" s="8" t="str">
        <f t="shared" si="3"/>
        <v/>
      </c>
    </row>
    <row r="441" ht="22.5" customHeight="1">
      <c r="C441" s="8" t="str">
        <f t="shared" si="3"/>
        <v/>
      </c>
    </row>
    <row r="442" ht="22.5" customHeight="1">
      <c r="C442" s="8" t="str">
        <f t="shared" si="3"/>
        <v/>
      </c>
    </row>
    <row r="443" ht="22.5" customHeight="1">
      <c r="C443" s="8" t="str">
        <f t="shared" si="3"/>
        <v/>
      </c>
    </row>
    <row r="444" ht="22.5" customHeight="1">
      <c r="C444" s="8" t="str">
        <f t="shared" si="3"/>
        <v/>
      </c>
    </row>
    <row r="445" ht="22.5" customHeight="1">
      <c r="C445" s="8" t="str">
        <f t="shared" si="3"/>
        <v/>
      </c>
    </row>
    <row r="446" ht="22.5" customHeight="1">
      <c r="C446" s="8" t="str">
        <f t="shared" si="3"/>
        <v/>
      </c>
    </row>
    <row r="447" ht="22.5" customHeight="1">
      <c r="C447" s="8" t="str">
        <f t="shared" si="3"/>
        <v/>
      </c>
    </row>
    <row r="448" ht="22.5" customHeight="1">
      <c r="C448" s="8" t="str">
        <f t="shared" si="3"/>
        <v/>
      </c>
    </row>
    <row r="449" ht="22.5" customHeight="1">
      <c r="C449" s="8" t="str">
        <f t="shared" si="3"/>
        <v/>
      </c>
    </row>
    <row r="450" ht="22.5" customHeight="1">
      <c r="C450" s="8" t="str">
        <f t="shared" si="3"/>
        <v/>
      </c>
    </row>
    <row r="451" ht="22.5" customHeight="1">
      <c r="C451" s="8" t="str">
        <f t="shared" si="3"/>
        <v/>
      </c>
    </row>
    <row r="452" ht="22.5" customHeight="1">
      <c r="C452" s="8" t="str">
        <f t="shared" si="3"/>
        <v/>
      </c>
    </row>
    <row r="453" ht="22.5" customHeight="1">
      <c r="C453" s="8" t="str">
        <f t="shared" si="3"/>
        <v/>
      </c>
    </row>
    <row r="454" ht="22.5" customHeight="1">
      <c r="C454" s="8" t="str">
        <f t="shared" si="3"/>
        <v/>
      </c>
    </row>
    <row r="455" ht="22.5" customHeight="1">
      <c r="C455" s="8" t="str">
        <f t="shared" si="3"/>
        <v/>
      </c>
    </row>
    <row r="456" ht="22.5" customHeight="1">
      <c r="C456" s="8" t="str">
        <f t="shared" si="3"/>
        <v/>
      </c>
    </row>
    <row r="457" ht="22.5" customHeight="1">
      <c r="C457" s="8" t="str">
        <f t="shared" si="3"/>
        <v/>
      </c>
    </row>
    <row r="458" ht="22.5" customHeight="1">
      <c r="C458" s="8" t="str">
        <f t="shared" si="3"/>
        <v/>
      </c>
    </row>
    <row r="459" ht="22.5" customHeight="1">
      <c r="C459" s="8" t="str">
        <f t="shared" si="3"/>
        <v/>
      </c>
    </row>
    <row r="460" ht="22.5" customHeight="1">
      <c r="C460" s="8" t="str">
        <f t="shared" si="3"/>
        <v/>
      </c>
    </row>
    <row r="461" ht="22.5" customHeight="1">
      <c r="C461" s="8" t="str">
        <f t="shared" si="3"/>
        <v/>
      </c>
    </row>
    <row r="462" ht="22.5" customHeight="1">
      <c r="C462" s="8" t="str">
        <f t="shared" si="3"/>
        <v/>
      </c>
    </row>
    <row r="463" ht="22.5" customHeight="1">
      <c r="C463" s="8" t="str">
        <f t="shared" si="3"/>
        <v/>
      </c>
    </row>
    <row r="464" ht="22.5" customHeight="1">
      <c r="C464" s="8" t="str">
        <f t="shared" si="3"/>
        <v/>
      </c>
    </row>
    <row r="465" ht="22.5" customHeight="1">
      <c r="C465" s="8" t="str">
        <f t="shared" si="3"/>
        <v/>
      </c>
    </row>
    <row r="466" ht="22.5" customHeight="1">
      <c r="C466" s="8" t="str">
        <f t="shared" si="3"/>
        <v/>
      </c>
    </row>
    <row r="467" ht="22.5" customHeight="1">
      <c r="C467" s="8" t="str">
        <f t="shared" si="3"/>
        <v/>
      </c>
    </row>
    <row r="468" ht="22.5" customHeight="1">
      <c r="C468" s="8" t="str">
        <f t="shared" si="3"/>
        <v/>
      </c>
    </row>
    <row r="469" ht="22.5" customHeight="1">
      <c r="C469" s="8" t="str">
        <f t="shared" si="3"/>
        <v/>
      </c>
    </row>
    <row r="470" ht="22.5" customHeight="1">
      <c r="C470" s="8" t="str">
        <f t="shared" si="3"/>
        <v/>
      </c>
    </row>
    <row r="471" ht="22.5" customHeight="1">
      <c r="C471" s="8" t="str">
        <f t="shared" si="3"/>
        <v/>
      </c>
    </row>
    <row r="472" ht="22.5" customHeight="1">
      <c r="C472" s="8" t="str">
        <f t="shared" si="3"/>
        <v/>
      </c>
    </row>
    <row r="473" ht="22.5" customHeight="1">
      <c r="C473" s="8" t="str">
        <f t="shared" si="3"/>
        <v/>
      </c>
    </row>
    <row r="474" ht="22.5" customHeight="1">
      <c r="C474" s="8" t="str">
        <f t="shared" si="3"/>
        <v/>
      </c>
    </row>
    <row r="475" ht="22.5" customHeight="1">
      <c r="C475" s="8" t="str">
        <f t="shared" si="3"/>
        <v/>
      </c>
    </row>
    <row r="476" ht="22.5" customHeight="1">
      <c r="C476" s="8" t="str">
        <f t="shared" si="3"/>
        <v/>
      </c>
    </row>
    <row r="477" ht="22.5" customHeight="1">
      <c r="C477" s="8" t="str">
        <f t="shared" si="3"/>
        <v/>
      </c>
    </row>
    <row r="478" ht="22.5" customHeight="1">
      <c r="C478" s="8" t="str">
        <f t="shared" si="3"/>
        <v/>
      </c>
    </row>
    <row r="479" ht="22.5" customHeight="1">
      <c r="C479" s="8" t="str">
        <f t="shared" si="3"/>
        <v/>
      </c>
    </row>
    <row r="480" ht="22.5" customHeight="1">
      <c r="C480" s="8" t="str">
        <f t="shared" si="3"/>
        <v/>
      </c>
    </row>
    <row r="481" ht="22.5" customHeight="1">
      <c r="C481" s="8" t="str">
        <f t="shared" si="3"/>
        <v/>
      </c>
    </row>
    <row r="482" ht="22.5" customHeight="1">
      <c r="C482" s="8" t="str">
        <f t="shared" si="3"/>
        <v/>
      </c>
    </row>
    <row r="483" ht="22.5" customHeight="1">
      <c r="C483" s="8" t="str">
        <f t="shared" si="3"/>
        <v/>
      </c>
    </row>
    <row r="484" ht="22.5" customHeight="1">
      <c r="C484" s="8" t="str">
        <f t="shared" si="3"/>
        <v/>
      </c>
    </row>
    <row r="485" ht="22.5" customHeight="1">
      <c r="C485" s="8" t="str">
        <f t="shared" si="3"/>
        <v/>
      </c>
    </row>
    <row r="486" ht="22.5" customHeight="1">
      <c r="C486" s="8" t="str">
        <f t="shared" si="3"/>
        <v/>
      </c>
    </row>
    <row r="487" ht="22.5" customHeight="1">
      <c r="C487" s="8" t="str">
        <f t="shared" si="3"/>
        <v/>
      </c>
    </row>
    <row r="488" ht="22.5" customHeight="1">
      <c r="C488" s="8" t="str">
        <f t="shared" si="3"/>
        <v/>
      </c>
    </row>
    <row r="489" ht="22.5" customHeight="1">
      <c r="C489" s="8" t="str">
        <f t="shared" si="3"/>
        <v/>
      </c>
    </row>
    <row r="490" ht="22.5" customHeight="1">
      <c r="C490" s="8" t="str">
        <f t="shared" si="3"/>
        <v/>
      </c>
    </row>
    <row r="491" ht="22.5" customHeight="1">
      <c r="C491" s="8" t="str">
        <f t="shared" si="3"/>
        <v/>
      </c>
    </row>
    <row r="492" ht="22.5" customHeight="1">
      <c r="C492" s="8" t="str">
        <f t="shared" si="3"/>
        <v/>
      </c>
    </row>
    <row r="493" ht="22.5" customHeight="1">
      <c r="C493" s="8" t="str">
        <f t="shared" si="3"/>
        <v/>
      </c>
    </row>
    <row r="494" ht="22.5" customHeight="1">
      <c r="C494" s="8" t="str">
        <f t="shared" si="3"/>
        <v/>
      </c>
    </row>
    <row r="495" ht="22.5" customHeight="1">
      <c r="C495" s="8" t="str">
        <f t="shared" si="3"/>
        <v/>
      </c>
    </row>
    <row r="496" ht="22.5" customHeight="1">
      <c r="C496" s="8" t="str">
        <f t="shared" si="3"/>
        <v/>
      </c>
    </row>
    <row r="497" ht="22.5" customHeight="1">
      <c r="C497" s="8" t="str">
        <f t="shared" si="3"/>
        <v/>
      </c>
    </row>
    <row r="498" ht="22.5" customHeight="1">
      <c r="C498" s="8" t="str">
        <f t="shared" si="3"/>
        <v/>
      </c>
    </row>
    <row r="499" ht="22.5" customHeight="1">
      <c r="C499" s="8" t="str">
        <f t="shared" si="3"/>
        <v/>
      </c>
    </row>
    <row r="500" ht="22.5" customHeight="1">
      <c r="C500" s="8" t="str">
        <f t="shared" si="3"/>
        <v/>
      </c>
    </row>
    <row r="501" ht="22.5" customHeight="1">
      <c r="C501" s="8" t="str">
        <f t="shared" si="3"/>
        <v/>
      </c>
    </row>
    <row r="502" ht="22.5" customHeight="1">
      <c r="C502" s="8" t="str">
        <f t="shared" si="3"/>
        <v/>
      </c>
    </row>
    <row r="503" ht="22.5" customHeight="1">
      <c r="C503" s="8" t="str">
        <f t="shared" si="3"/>
        <v/>
      </c>
    </row>
    <row r="504" ht="22.5" customHeight="1">
      <c r="C504" s="8" t="str">
        <f t="shared" si="3"/>
        <v/>
      </c>
    </row>
    <row r="505" ht="22.5" customHeight="1">
      <c r="C505" s="8" t="str">
        <f t="shared" si="3"/>
        <v/>
      </c>
    </row>
    <row r="506" ht="22.5" customHeight="1">
      <c r="C506" s="8" t="str">
        <f t="shared" si="3"/>
        <v/>
      </c>
    </row>
    <row r="507" ht="22.5" customHeight="1">
      <c r="C507" s="8" t="str">
        <f t="shared" si="3"/>
        <v/>
      </c>
    </row>
    <row r="508" ht="22.5" customHeight="1">
      <c r="C508" s="8" t="str">
        <f t="shared" si="3"/>
        <v/>
      </c>
    </row>
    <row r="509" ht="22.5" customHeight="1">
      <c r="C509" s="8" t="str">
        <f t="shared" si="3"/>
        <v/>
      </c>
    </row>
    <row r="510" ht="22.5" customHeight="1">
      <c r="C510" s="8" t="str">
        <f t="shared" si="3"/>
        <v/>
      </c>
    </row>
    <row r="511" ht="22.5" customHeight="1">
      <c r="C511" s="8" t="str">
        <f t="shared" si="3"/>
        <v/>
      </c>
    </row>
    <row r="512" ht="22.5" customHeight="1">
      <c r="C512" s="8" t="str">
        <f t="shared" si="3"/>
        <v/>
      </c>
    </row>
    <row r="513" ht="22.5" customHeight="1">
      <c r="C513" s="8" t="str">
        <f t="shared" si="3"/>
        <v/>
      </c>
    </row>
    <row r="514" ht="22.5" customHeight="1">
      <c r="C514" s="8" t="str">
        <f t="shared" si="3"/>
        <v/>
      </c>
    </row>
    <row r="515" ht="22.5" customHeight="1">
      <c r="C515" s="8" t="str">
        <f t="shared" si="3"/>
        <v/>
      </c>
    </row>
    <row r="516" ht="22.5" customHeight="1">
      <c r="C516" s="8" t="str">
        <f t="shared" si="3"/>
        <v/>
      </c>
    </row>
    <row r="517" ht="22.5" customHeight="1">
      <c r="C517" s="8" t="str">
        <f t="shared" si="3"/>
        <v/>
      </c>
    </row>
    <row r="518" ht="22.5" customHeight="1">
      <c r="C518" s="8" t="str">
        <f t="shared" si="3"/>
        <v/>
      </c>
    </row>
    <row r="519" ht="22.5" customHeight="1">
      <c r="C519" s="8" t="str">
        <f t="shared" si="3"/>
        <v/>
      </c>
    </row>
    <row r="520" ht="22.5" customHeight="1">
      <c r="C520" s="8" t="str">
        <f t="shared" si="3"/>
        <v/>
      </c>
    </row>
    <row r="521" ht="22.5" customHeight="1">
      <c r="C521" s="8" t="str">
        <f t="shared" si="3"/>
        <v/>
      </c>
    </row>
    <row r="522" ht="22.5" customHeight="1">
      <c r="C522" s="8" t="str">
        <f t="shared" si="3"/>
        <v/>
      </c>
    </row>
    <row r="523" ht="22.5" customHeight="1">
      <c r="C523" s="8" t="str">
        <f t="shared" si="3"/>
        <v/>
      </c>
    </row>
    <row r="524" ht="22.5" customHeight="1">
      <c r="C524" s="8" t="str">
        <f t="shared" si="3"/>
        <v/>
      </c>
    </row>
    <row r="525" ht="22.5" customHeight="1">
      <c r="C525" s="8" t="str">
        <f t="shared" si="3"/>
        <v/>
      </c>
    </row>
    <row r="526" ht="22.5" customHeight="1">
      <c r="C526" s="8" t="str">
        <f t="shared" si="3"/>
        <v/>
      </c>
    </row>
    <row r="527" ht="22.5" customHeight="1">
      <c r="C527" s="8" t="str">
        <f t="shared" si="3"/>
        <v/>
      </c>
    </row>
    <row r="528" ht="22.5" customHeight="1">
      <c r="C528" s="8" t="str">
        <f t="shared" si="3"/>
        <v/>
      </c>
    </row>
    <row r="529" ht="22.5" customHeight="1">
      <c r="C529" s="8" t="str">
        <f t="shared" si="3"/>
        <v/>
      </c>
    </row>
    <row r="530" ht="22.5" customHeight="1">
      <c r="C530" s="8" t="str">
        <f t="shared" si="3"/>
        <v/>
      </c>
    </row>
    <row r="531" ht="22.5" customHeight="1">
      <c r="C531" s="8" t="str">
        <f t="shared" si="3"/>
        <v/>
      </c>
    </row>
    <row r="532" ht="22.5" customHeight="1">
      <c r="C532" s="8" t="str">
        <f t="shared" si="3"/>
        <v/>
      </c>
    </row>
    <row r="533" ht="22.5" customHeight="1">
      <c r="C533" s="8" t="str">
        <f t="shared" si="3"/>
        <v/>
      </c>
    </row>
    <row r="534" ht="22.5" customHeight="1">
      <c r="C534" s="8" t="str">
        <f t="shared" si="3"/>
        <v/>
      </c>
    </row>
    <row r="535" ht="22.5" customHeight="1">
      <c r="C535" s="8" t="str">
        <f t="shared" si="3"/>
        <v/>
      </c>
    </row>
    <row r="536" ht="22.5" customHeight="1">
      <c r="C536" s="8" t="str">
        <f t="shared" si="3"/>
        <v/>
      </c>
    </row>
    <row r="537" ht="22.5" customHeight="1">
      <c r="C537" s="8" t="str">
        <f t="shared" si="3"/>
        <v/>
      </c>
    </row>
    <row r="538" ht="22.5" customHeight="1">
      <c r="C538" s="8" t="str">
        <f t="shared" si="3"/>
        <v/>
      </c>
    </row>
    <row r="539" ht="22.5" customHeight="1">
      <c r="C539" s="8" t="str">
        <f t="shared" si="3"/>
        <v/>
      </c>
    </row>
    <row r="540" ht="22.5" customHeight="1">
      <c r="C540" s="8" t="str">
        <f t="shared" si="3"/>
        <v/>
      </c>
    </row>
    <row r="541" ht="22.5" customHeight="1">
      <c r="C541" s="8" t="str">
        <f t="shared" si="3"/>
        <v/>
      </c>
    </row>
    <row r="542" ht="22.5" customHeight="1">
      <c r="C542" s="8" t="str">
        <f t="shared" si="3"/>
        <v/>
      </c>
    </row>
    <row r="543" ht="22.5" customHeight="1">
      <c r="C543" s="8" t="str">
        <f t="shared" si="3"/>
        <v/>
      </c>
    </row>
    <row r="544" ht="22.5" customHeight="1">
      <c r="C544" s="8" t="str">
        <f t="shared" si="3"/>
        <v/>
      </c>
    </row>
    <row r="545" ht="22.5" customHeight="1">
      <c r="C545" s="8" t="str">
        <f t="shared" si="3"/>
        <v/>
      </c>
    </row>
    <row r="546" ht="22.5" customHeight="1">
      <c r="C546" s="8" t="str">
        <f t="shared" si="3"/>
        <v/>
      </c>
    </row>
    <row r="547" ht="22.5" customHeight="1">
      <c r="C547" s="8" t="str">
        <f t="shared" si="3"/>
        <v/>
      </c>
    </row>
    <row r="548" ht="22.5" customHeight="1">
      <c r="C548" s="8" t="str">
        <f t="shared" si="3"/>
        <v/>
      </c>
    </row>
    <row r="549" ht="22.5" customHeight="1">
      <c r="C549" s="8" t="str">
        <f t="shared" si="3"/>
        <v/>
      </c>
    </row>
    <row r="550" ht="22.5" customHeight="1">
      <c r="C550" s="8" t="str">
        <f t="shared" si="3"/>
        <v/>
      </c>
    </row>
    <row r="551" ht="22.5" customHeight="1">
      <c r="C551" s="8" t="str">
        <f t="shared" si="3"/>
        <v/>
      </c>
    </row>
    <row r="552" ht="22.5" customHeight="1">
      <c r="C552" s="8" t="str">
        <f t="shared" si="3"/>
        <v/>
      </c>
    </row>
    <row r="553" ht="22.5" customHeight="1">
      <c r="C553" s="8" t="str">
        <f t="shared" si="3"/>
        <v/>
      </c>
    </row>
    <row r="554" ht="22.5" customHeight="1">
      <c r="C554" s="8" t="str">
        <f t="shared" si="3"/>
        <v/>
      </c>
    </row>
    <row r="555" ht="22.5" customHeight="1">
      <c r="C555" s="8" t="str">
        <f t="shared" si="3"/>
        <v/>
      </c>
    </row>
    <row r="556" ht="22.5" customHeight="1">
      <c r="C556" s="8" t="str">
        <f t="shared" si="3"/>
        <v/>
      </c>
    </row>
    <row r="557" ht="22.5" customHeight="1">
      <c r="C557" s="8" t="str">
        <f t="shared" si="3"/>
        <v/>
      </c>
    </row>
    <row r="558" ht="22.5" customHeight="1">
      <c r="C558" s="8" t="str">
        <f t="shared" si="3"/>
        <v/>
      </c>
    </row>
    <row r="559" ht="22.5" customHeight="1">
      <c r="C559" s="8" t="str">
        <f t="shared" si="3"/>
        <v/>
      </c>
    </row>
    <row r="560" ht="22.5" customHeight="1">
      <c r="C560" s="8" t="str">
        <f t="shared" si="3"/>
        <v/>
      </c>
    </row>
    <row r="561" ht="22.5" customHeight="1">
      <c r="C561" s="8" t="str">
        <f t="shared" si="3"/>
        <v/>
      </c>
    </row>
    <row r="562" ht="22.5" customHeight="1">
      <c r="C562" s="8" t="str">
        <f t="shared" si="3"/>
        <v/>
      </c>
    </row>
    <row r="563" ht="22.5" customHeight="1">
      <c r="C563" s="8" t="str">
        <f t="shared" si="3"/>
        <v/>
      </c>
    </row>
    <row r="564" ht="22.5" customHeight="1">
      <c r="C564" s="8" t="str">
        <f t="shared" si="3"/>
        <v/>
      </c>
    </row>
    <row r="565" ht="22.5" customHeight="1">
      <c r="C565" s="8" t="str">
        <f t="shared" si="3"/>
        <v/>
      </c>
    </row>
    <row r="566" ht="22.5" customHeight="1">
      <c r="C566" s="8" t="str">
        <f t="shared" si="3"/>
        <v/>
      </c>
    </row>
    <row r="567" ht="22.5" customHeight="1">
      <c r="C567" s="8" t="str">
        <f t="shared" si="3"/>
        <v/>
      </c>
    </row>
    <row r="568" ht="22.5" customHeight="1">
      <c r="C568" s="8" t="str">
        <f t="shared" si="3"/>
        <v/>
      </c>
    </row>
    <row r="569" ht="22.5" customHeight="1">
      <c r="C569" s="8" t="str">
        <f t="shared" si="3"/>
        <v/>
      </c>
    </row>
    <row r="570" ht="22.5" customHeight="1">
      <c r="C570" s="8" t="str">
        <f t="shared" si="3"/>
        <v/>
      </c>
    </row>
    <row r="571" ht="22.5" customHeight="1">
      <c r="C571" s="8" t="str">
        <f t="shared" si="3"/>
        <v/>
      </c>
    </row>
    <row r="572" ht="22.5" customHeight="1">
      <c r="C572" s="8" t="str">
        <f t="shared" si="3"/>
        <v/>
      </c>
    </row>
    <row r="573" ht="22.5" customHeight="1">
      <c r="C573" s="8" t="str">
        <f t="shared" si="3"/>
        <v/>
      </c>
    </row>
    <row r="574" ht="22.5" customHeight="1">
      <c r="C574" s="8" t="str">
        <f t="shared" si="3"/>
        <v/>
      </c>
    </row>
    <row r="575" ht="22.5" customHeight="1">
      <c r="C575" s="8" t="str">
        <f t="shared" si="3"/>
        <v/>
      </c>
    </row>
    <row r="576" ht="22.5" customHeight="1">
      <c r="C576" s="8" t="str">
        <f t="shared" si="3"/>
        <v/>
      </c>
    </row>
    <row r="577" ht="22.5" customHeight="1">
      <c r="C577" s="8" t="str">
        <f t="shared" si="3"/>
        <v/>
      </c>
    </row>
    <row r="578" ht="22.5" customHeight="1">
      <c r="C578" s="8" t="str">
        <f t="shared" si="3"/>
        <v/>
      </c>
    </row>
    <row r="579" ht="22.5" customHeight="1">
      <c r="C579" s="8" t="str">
        <f t="shared" si="3"/>
        <v/>
      </c>
    </row>
    <row r="580" ht="22.5" customHeight="1">
      <c r="C580" s="8" t="str">
        <f t="shared" si="3"/>
        <v/>
      </c>
    </row>
    <row r="581" ht="22.5" customHeight="1">
      <c r="C581" s="8" t="str">
        <f t="shared" si="3"/>
        <v/>
      </c>
    </row>
    <row r="582" ht="22.5" customHeight="1">
      <c r="C582" s="8" t="str">
        <f t="shared" si="3"/>
        <v/>
      </c>
    </row>
    <row r="583" ht="22.5" customHeight="1">
      <c r="C583" s="8" t="str">
        <f t="shared" si="3"/>
        <v/>
      </c>
    </row>
    <row r="584" ht="22.5" customHeight="1">
      <c r="C584" s="8" t="str">
        <f t="shared" si="3"/>
        <v/>
      </c>
    </row>
    <row r="585" ht="22.5" customHeight="1">
      <c r="C585" s="8" t="str">
        <f t="shared" si="3"/>
        <v/>
      </c>
    </row>
    <row r="586" ht="22.5" customHeight="1">
      <c r="C586" s="8" t="str">
        <f t="shared" si="3"/>
        <v/>
      </c>
    </row>
    <row r="587" ht="22.5" customHeight="1">
      <c r="C587" s="8" t="str">
        <f t="shared" si="3"/>
        <v/>
      </c>
    </row>
    <row r="588" ht="22.5" customHeight="1">
      <c r="C588" s="8" t="str">
        <f t="shared" si="3"/>
        <v/>
      </c>
    </row>
    <row r="589" ht="22.5" customHeight="1">
      <c r="C589" s="8" t="str">
        <f t="shared" si="3"/>
        <v/>
      </c>
    </row>
    <row r="590" ht="22.5" customHeight="1">
      <c r="C590" s="8" t="str">
        <f t="shared" si="3"/>
        <v/>
      </c>
    </row>
    <row r="591" ht="22.5" customHeight="1">
      <c r="C591" s="8" t="str">
        <f t="shared" si="3"/>
        <v/>
      </c>
    </row>
    <row r="592" ht="22.5" customHeight="1">
      <c r="C592" s="8" t="str">
        <f t="shared" si="3"/>
        <v/>
      </c>
    </row>
    <row r="593" ht="22.5" customHeight="1">
      <c r="C593" s="8" t="str">
        <f t="shared" si="3"/>
        <v/>
      </c>
    </row>
    <row r="594" ht="22.5" customHeight="1">
      <c r="C594" s="8" t="str">
        <f t="shared" si="3"/>
        <v/>
      </c>
    </row>
    <row r="595" ht="22.5" customHeight="1">
      <c r="C595" s="8" t="str">
        <f t="shared" si="3"/>
        <v/>
      </c>
    </row>
    <row r="596" ht="22.5" customHeight="1">
      <c r="C596" s="8" t="str">
        <f t="shared" si="3"/>
        <v/>
      </c>
    </row>
    <row r="597" ht="22.5" customHeight="1">
      <c r="C597" s="8" t="str">
        <f t="shared" si="3"/>
        <v/>
      </c>
    </row>
    <row r="598" ht="22.5" customHeight="1">
      <c r="C598" s="8" t="str">
        <f t="shared" si="3"/>
        <v/>
      </c>
    </row>
    <row r="599" ht="22.5" customHeight="1">
      <c r="C599" s="8" t="str">
        <f t="shared" si="3"/>
        <v/>
      </c>
    </row>
    <row r="600" ht="22.5" customHeight="1">
      <c r="C600" s="8" t="str">
        <f t="shared" si="3"/>
        <v/>
      </c>
    </row>
    <row r="601" ht="22.5" customHeight="1">
      <c r="C601" s="8" t="str">
        <f t="shared" si="3"/>
        <v/>
      </c>
    </row>
    <row r="602" ht="22.5" customHeight="1">
      <c r="C602" s="8" t="str">
        <f t="shared" si="3"/>
        <v/>
      </c>
    </row>
    <row r="603" ht="22.5" customHeight="1">
      <c r="C603" s="8" t="str">
        <f t="shared" si="3"/>
        <v/>
      </c>
    </row>
    <row r="604" ht="22.5" customHeight="1">
      <c r="C604" s="8" t="str">
        <f t="shared" si="3"/>
        <v/>
      </c>
    </row>
    <row r="605" ht="22.5" customHeight="1">
      <c r="C605" s="8" t="str">
        <f t="shared" si="3"/>
        <v/>
      </c>
    </row>
    <row r="606" ht="22.5" customHeight="1">
      <c r="C606" s="8" t="str">
        <f t="shared" si="3"/>
        <v/>
      </c>
    </row>
    <row r="607" ht="22.5" customHeight="1">
      <c r="C607" s="8" t="str">
        <f t="shared" si="3"/>
        <v/>
      </c>
    </row>
    <row r="608" ht="22.5" customHeight="1">
      <c r="C608" s="8" t="str">
        <f t="shared" si="3"/>
        <v/>
      </c>
    </row>
    <row r="609" ht="22.5" customHeight="1">
      <c r="C609" s="8" t="str">
        <f t="shared" si="3"/>
        <v/>
      </c>
    </row>
    <row r="610" ht="22.5" customHeight="1">
      <c r="C610" s="8" t="str">
        <f t="shared" si="3"/>
        <v/>
      </c>
    </row>
    <row r="611" ht="22.5" customHeight="1">
      <c r="C611" s="8" t="str">
        <f t="shared" si="3"/>
        <v/>
      </c>
    </row>
    <row r="612" ht="22.5" customHeight="1">
      <c r="C612" s="8" t="str">
        <f t="shared" si="3"/>
        <v/>
      </c>
    </row>
    <row r="613" ht="22.5" customHeight="1">
      <c r="C613" s="8" t="str">
        <f t="shared" si="3"/>
        <v/>
      </c>
    </row>
    <row r="614" ht="22.5" customHeight="1">
      <c r="C614" s="8" t="str">
        <f t="shared" si="3"/>
        <v/>
      </c>
    </row>
    <row r="615" ht="22.5" customHeight="1">
      <c r="C615" s="8" t="str">
        <f t="shared" si="3"/>
        <v/>
      </c>
    </row>
    <row r="616" ht="22.5" customHeight="1">
      <c r="C616" s="8" t="str">
        <f t="shared" si="3"/>
        <v/>
      </c>
    </row>
    <row r="617" ht="22.5" customHeight="1">
      <c r="C617" s="8" t="str">
        <f t="shared" si="3"/>
        <v/>
      </c>
    </row>
    <row r="618" ht="22.5" customHeight="1">
      <c r="C618" s="8" t="str">
        <f t="shared" si="3"/>
        <v/>
      </c>
    </row>
    <row r="619" ht="22.5" customHeight="1">
      <c r="C619" s="8" t="str">
        <f t="shared" si="3"/>
        <v/>
      </c>
    </row>
    <row r="620" ht="22.5" customHeight="1">
      <c r="C620" s="8" t="str">
        <f t="shared" si="3"/>
        <v/>
      </c>
    </row>
    <row r="621" ht="22.5" customHeight="1">
      <c r="C621" s="8" t="str">
        <f t="shared" si="3"/>
        <v/>
      </c>
    </row>
    <row r="622" ht="22.5" customHeight="1">
      <c r="C622" s="8" t="str">
        <f t="shared" si="3"/>
        <v/>
      </c>
    </row>
    <row r="623" ht="22.5" customHeight="1">
      <c r="C623" s="8" t="str">
        <f t="shared" si="3"/>
        <v/>
      </c>
    </row>
    <row r="624" ht="22.5" customHeight="1">
      <c r="C624" s="8" t="str">
        <f t="shared" si="3"/>
        <v/>
      </c>
    </row>
    <row r="625" ht="22.5" customHeight="1">
      <c r="C625" s="8" t="str">
        <f t="shared" si="3"/>
        <v/>
      </c>
    </row>
    <row r="626" ht="22.5" customHeight="1">
      <c r="C626" s="8" t="str">
        <f t="shared" si="3"/>
        <v/>
      </c>
    </row>
    <row r="627" ht="22.5" customHeight="1">
      <c r="C627" s="8" t="str">
        <f t="shared" si="3"/>
        <v/>
      </c>
    </row>
    <row r="628" ht="22.5" customHeight="1">
      <c r="C628" s="8" t="str">
        <f t="shared" si="3"/>
        <v/>
      </c>
    </row>
    <row r="629" ht="22.5" customHeight="1">
      <c r="C629" s="8" t="str">
        <f t="shared" si="3"/>
        <v/>
      </c>
    </row>
    <row r="630" ht="22.5" customHeight="1">
      <c r="C630" s="8" t="str">
        <f t="shared" si="3"/>
        <v/>
      </c>
    </row>
    <row r="631" ht="22.5" customHeight="1">
      <c r="C631" s="8" t="str">
        <f t="shared" si="3"/>
        <v/>
      </c>
    </row>
    <row r="632" ht="22.5" customHeight="1">
      <c r="C632" s="8" t="str">
        <f t="shared" si="3"/>
        <v/>
      </c>
    </row>
    <row r="633" ht="22.5" customHeight="1">
      <c r="C633" s="8" t="str">
        <f t="shared" si="3"/>
        <v/>
      </c>
    </row>
    <row r="634" ht="22.5" customHeight="1">
      <c r="C634" s="8" t="str">
        <f t="shared" si="3"/>
        <v/>
      </c>
    </row>
    <row r="635" ht="22.5" customHeight="1">
      <c r="C635" s="8" t="str">
        <f t="shared" si="3"/>
        <v/>
      </c>
    </row>
    <row r="636" ht="22.5" customHeight="1">
      <c r="C636" s="8" t="str">
        <f t="shared" si="3"/>
        <v/>
      </c>
    </row>
    <row r="637" ht="22.5" customHeight="1">
      <c r="C637" s="8" t="str">
        <f t="shared" si="3"/>
        <v/>
      </c>
    </row>
    <row r="638" ht="22.5" customHeight="1">
      <c r="C638" s="8" t="str">
        <f t="shared" si="3"/>
        <v/>
      </c>
    </row>
    <row r="639" ht="22.5" customHeight="1">
      <c r="C639" s="8" t="str">
        <f t="shared" si="3"/>
        <v/>
      </c>
    </row>
    <row r="640" ht="22.5" customHeight="1">
      <c r="C640" s="8" t="str">
        <f t="shared" si="3"/>
        <v/>
      </c>
    </row>
    <row r="641" ht="22.5" customHeight="1">
      <c r="C641" s="8" t="str">
        <f t="shared" si="3"/>
        <v/>
      </c>
    </row>
    <row r="642" ht="22.5" customHeight="1">
      <c r="C642" s="8" t="str">
        <f t="shared" si="3"/>
        <v/>
      </c>
    </row>
    <row r="643" ht="22.5" customHeight="1">
      <c r="C643" s="8" t="str">
        <f t="shared" si="3"/>
        <v/>
      </c>
    </row>
    <row r="644" ht="22.5" customHeight="1">
      <c r="C644" s="8" t="str">
        <f t="shared" si="3"/>
        <v/>
      </c>
    </row>
    <row r="645" ht="22.5" customHeight="1">
      <c r="C645" s="8" t="str">
        <f t="shared" si="3"/>
        <v/>
      </c>
    </row>
    <row r="646" ht="22.5" customHeight="1">
      <c r="C646" s="8" t="str">
        <f t="shared" si="3"/>
        <v/>
      </c>
    </row>
    <row r="647" ht="22.5" customHeight="1">
      <c r="C647" s="8" t="str">
        <f t="shared" si="3"/>
        <v/>
      </c>
    </row>
    <row r="648" ht="22.5" customHeight="1">
      <c r="C648" s="8" t="str">
        <f t="shared" si="3"/>
        <v/>
      </c>
    </row>
    <row r="649" ht="22.5" customHeight="1">
      <c r="C649" s="8" t="str">
        <f t="shared" si="3"/>
        <v/>
      </c>
    </row>
    <row r="650" ht="22.5" customHeight="1">
      <c r="C650" s="8" t="str">
        <f t="shared" si="3"/>
        <v/>
      </c>
    </row>
    <row r="651" ht="22.5" customHeight="1">
      <c r="C651" s="8" t="str">
        <f t="shared" si="3"/>
        <v/>
      </c>
    </row>
    <row r="652" ht="22.5" customHeight="1">
      <c r="C652" s="8" t="str">
        <f t="shared" si="3"/>
        <v/>
      </c>
    </row>
    <row r="653" ht="22.5" customHeight="1">
      <c r="C653" s="8" t="str">
        <f t="shared" si="3"/>
        <v/>
      </c>
    </row>
    <row r="654" ht="22.5" customHeight="1">
      <c r="C654" s="8" t="str">
        <f t="shared" si="3"/>
        <v/>
      </c>
    </row>
    <row r="655" ht="22.5" customHeight="1">
      <c r="C655" s="8" t="str">
        <f t="shared" si="3"/>
        <v/>
      </c>
    </row>
    <row r="656" ht="22.5" customHeight="1">
      <c r="C656" s="8" t="str">
        <f t="shared" si="3"/>
        <v/>
      </c>
    </row>
    <row r="657" ht="22.5" customHeight="1">
      <c r="C657" s="8" t="str">
        <f t="shared" si="3"/>
        <v/>
      </c>
    </row>
    <row r="658" ht="22.5" customHeight="1">
      <c r="C658" s="8" t="str">
        <f t="shared" si="3"/>
        <v/>
      </c>
    </row>
    <row r="659" ht="22.5" customHeight="1">
      <c r="C659" s="8" t="str">
        <f t="shared" si="3"/>
        <v/>
      </c>
    </row>
    <row r="660" ht="22.5" customHeight="1">
      <c r="C660" s="8" t="str">
        <f t="shared" si="3"/>
        <v/>
      </c>
    </row>
    <row r="661" ht="22.5" customHeight="1">
      <c r="C661" s="8" t="str">
        <f t="shared" si="3"/>
        <v/>
      </c>
    </row>
    <row r="662" ht="22.5" customHeight="1">
      <c r="C662" s="8" t="str">
        <f t="shared" si="3"/>
        <v/>
      </c>
    </row>
    <row r="663" ht="22.5" customHeight="1">
      <c r="C663" s="8" t="str">
        <f t="shared" si="3"/>
        <v/>
      </c>
    </row>
    <row r="664" ht="22.5" customHeight="1">
      <c r="C664" s="8" t="str">
        <f t="shared" si="3"/>
        <v/>
      </c>
    </row>
    <row r="665" ht="22.5" customHeight="1">
      <c r="C665" s="8" t="str">
        <f t="shared" si="3"/>
        <v/>
      </c>
    </row>
    <row r="666" ht="22.5" customHeight="1">
      <c r="C666" s="8" t="str">
        <f t="shared" si="3"/>
        <v/>
      </c>
    </row>
    <row r="667" ht="22.5" customHeight="1">
      <c r="C667" s="8" t="str">
        <f t="shared" si="3"/>
        <v/>
      </c>
    </row>
    <row r="668" ht="22.5" customHeight="1">
      <c r="C668" s="8" t="str">
        <f t="shared" si="3"/>
        <v/>
      </c>
    </row>
    <row r="669" ht="22.5" customHeight="1">
      <c r="C669" s="8" t="str">
        <f t="shared" si="3"/>
        <v/>
      </c>
    </row>
    <row r="670" ht="22.5" customHeight="1">
      <c r="C670" s="8" t="str">
        <f t="shared" si="3"/>
        <v/>
      </c>
    </row>
    <row r="671" ht="22.5" customHeight="1">
      <c r="C671" s="8" t="str">
        <f t="shared" si="3"/>
        <v/>
      </c>
    </row>
    <row r="672" ht="22.5" customHeight="1">
      <c r="C672" s="8" t="str">
        <f t="shared" si="3"/>
        <v/>
      </c>
    </row>
    <row r="673" ht="22.5" customHeight="1">
      <c r="C673" s="8" t="str">
        <f t="shared" si="3"/>
        <v/>
      </c>
    </row>
    <row r="674" ht="22.5" customHeight="1">
      <c r="C674" s="8" t="str">
        <f t="shared" si="3"/>
        <v/>
      </c>
    </row>
    <row r="675" ht="22.5" customHeight="1">
      <c r="C675" s="8" t="str">
        <f t="shared" si="3"/>
        <v/>
      </c>
    </row>
    <row r="676" ht="22.5" customHeight="1">
      <c r="C676" s="8" t="str">
        <f t="shared" si="3"/>
        <v/>
      </c>
    </row>
    <row r="677" ht="22.5" customHeight="1">
      <c r="C677" s="8" t="str">
        <f t="shared" si="3"/>
        <v/>
      </c>
    </row>
    <row r="678" ht="22.5" customHeight="1">
      <c r="C678" s="8" t="str">
        <f t="shared" si="3"/>
        <v/>
      </c>
    </row>
    <row r="679" ht="22.5" customHeight="1">
      <c r="C679" s="8" t="str">
        <f t="shared" si="3"/>
        <v/>
      </c>
    </row>
    <row r="680" ht="22.5" customHeight="1">
      <c r="C680" s="8" t="str">
        <f t="shared" si="3"/>
        <v/>
      </c>
    </row>
    <row r="681" ht="22.5" customHeight="1">
      <c r="C681" s="8" t="str">
        <f t="shared" si="3"/>
        <v/>
      </c>
    </row>
    <row r="682" ht="22.5" customHeight="1">
      <c r="C682" s="8" t="str">
        <f t="shared" si="3"/>
        <v/>
      </c>
    </row>
    <row r="683" ht="22.5" customHeight="1">
      <c r="C683" s="8" t="str">
        <f t="shared" si="3"/>
        <v/>
      </c>
    </row>
    <row r="684" ht="22.5" customHeight="1">
      <c r="C684" s="8" t="str">
        <f t="shared" si="3"/>
        <v/>
      </c>
    </row>
    <row r="685" ht="22.5" customHeight="1">
      <c r="C685" s="8" t="str">
        <f t="shared" si="3"/>
        <v/>
      </c>
    </row>
    <row r="686" ht="22.5" customHeight="1">
      <c r="C686" s="8" t="str">
        <f t="shared" si="3"/>
        <v/>
      </c>
    </row>
    <row r="687" ht="22.5" customHeight="1">
      <c r="C687" s="8" t="str">
        <f t="shared" si="3"/>
        <v/>
      </c>
    </row>
    <row r="688" ht="22.5" customHeight="1">
      <c r="C688" s="8" t="str">
        <f t="shared" si="3"/>
        <v/>
      </c>
    </row>
    <row r="689" ht="22.5" customHeight="1">
      <c r="C689" s="8" t="str">
        <f t="shared" si="3"/>
        <v/>
      </c>
    </row>
    <row r="690" ht="22.5" customHeight="1">
      <c r="C690" s="8" t="str">
        <f t="shared" si="3"/>
        <v/>
      </c>
    </row>
    <row r="691" ht="22.5" customHeight="1">
      <c r="C691" s="8" t="str">
        <f t="shared" si="3"/>
        <v/>
      </c>
    </row>
    <row r="692" ht="22.5" customHeight="1">
      <c r="C692" s="8" t="str">
        <f t="shared" si="3"/>
        <v/>
      </c>
    </row>
    <row r="693" ht="22.5" customHeight="1">
      <c r="C693" s="8" t="str">
        <f t="shared" si="3"/>
        <v/>
      </c>
    </row>
    <row r="694" ht="22.5" customHeight="1">
      <c r="C694" s="8" t="str">
        <f t="shared" si="3"/>
        <v/>
      </c>
    </row>
    <row r="695" ht="22.5" customHeight="1">
      <c r="C695" s="8" t="str">
        <f t="shared" si="3"/>
        <v/>
      </c>
    </row>
    <row r="696" ht="22.5" customHeight="1">
      <c r="C696" s="8" t="str">
        <f t="shared" si="3"/>
        <v/>
      </c>
    </row>
    <row r="697" ht="22.5" customHeight="1">
      <c r="C697" s="8" t="str">
        <f t="shared" si="3"/>
        <v/>
      </c>
    </row>
    <row r="698" ht="22.5" customHeight="1">
      <c r="C698" s="8" t="str">
        <f t="shared" si="3"/>
        <v/>
      </c>
    </row>
    <row r="699" ht="22.5" customHeight="1">
      <c r="C699" s="8" t="str">
        <f t="shared" si="3"/>
        <v/>
      </c>
    </row>
    <row r="700" ht="22.5" customHeight="1">
      <c r="C700" s="8" t="str">
        <f t="shared" si="3"/>
        <v/>
      </c>
    </row>
    <row r="701" ht="22.5" customHeight="1">
      <c r="C701" s="8" t="str">
        <f t="shared" si="3"/>
        <v/>
      </c>
    </row>
    <row r="702" ht="22.5" customHeight="1">
      <c r="C702" s="8" t="str">
        <f t="shared" si="3"/>
        <v/>
      </c>
    </row>
    <row r="703" ht="22.5" customHeight="1">
      <c r="C703" s="8" t="str">
        <f t="shared" si="3"/>
        <v/>
      </c>
    </row>
    <row r="704" ht="22.5" customHeight="1">
      <c r="C704" s="8" t="str">
        <f t="shared" si="3"/>
        <v/>
      </c>
    </row>
    <row r="705" ht="22.5" customHeight="1">
      <c r="C705" s="8" t="str">
        <f t="shared" si="3"/>
        <v/>
      </c>
    </row>
    <row r="706" ht="22.5" customHeight="1">
      <c r="C706" s="8" t="str">
        <f t="shared" si="3"/>
        <v/>
      </c>
    </row>
    <row r="707" ht="22.5" customHeight="1">
      <c r="C707" s="8" t="str">
        <f t="shared" si="3"/>
        <v/>
      </c>
    </row>
    <row r="708" ht="22.5" customHeight="1">
      <c r="C708" s="8" t="str">
        <f t="shared" si="3"/>
        <v/>
      </c>
    </row>
    <row r="709" ht="22.5" customHeight="1">
      <c r="C709" s="8" t="str">
        <f t="shared" si="3"/>
        <v/>
      </c>
    </row>
    <row r="710" ht="22.5" customHeight="1">
      <c r="C710" s="8" t="str">
        <f t="shared" si="3"/>
        <v/>
      </c>
    </row>
    <row r="711" ht="22.5" customHeight="1">
      <c r="C711" s="8" t="str">
        <f t="shared" si="3"/>
        <v/>
      </c>
    </row>
    <row r="712" ht="22.5" customHeight="1">
      <c r="C712" s="8" t="str">
        <f t="shared" si="3"/>
        <v/>
      </c>
    </row>
    <row r="713" ht="22.5" customHeight="1">
      <c r="C713" s="8" t="str">
        <f t="shared" si="3"/>
        <v/>
      </c>
    </row>
    <row r="714" ht="22.5" customHeight="1">
      <c r="C714" s="8" t="str">
        <f t="shared" si="3"/>
        <v/>
      </c>
    </row>
    <row r="715" ht="22.5" customHeight="1">
      <c r="C715" s="8" t="str">
        <f t="shared" si="3"/>
        <v/>
      </c>
    </row>
    <row r="716" ht="22.5" customHeight="1">
      <c r="C716" s="8" t="str">
        <f t="shared" si="3"/>
        <v/>
      </c>
    </row>
    <row r="717" ht="22.5" customHeight="1">
      <c r="C717" s="8" t="str">
        <f t="shared" si="3"/>
        <v/>
      </c>
    </row>
    <row r="718" ht="22.5" customHeight="1">
      <c r="C718" s="8" t="str">
        <f t="shared" si="3"/>
        <v/>
      </c>
    </row>
    <row r="719" ht="22.5" customHeight="1">
      <c r="C719" s="8" t="str">
        <f t="shared" si="3"/>
        <v/>
      </c>
    </row>
    <row r="720" ht="22.5" customHeight="1">
      <c r="C720" s="8" t="str">
        <f t="shared" si="3"/>
        <v/>
      </c>
    </row>
    <row r="721" ht="22.5" customHeight="1">
      <c r="C721" s="8" t="str">
        <f t="shared" si="3"/>
        <v/>
      </c>
    </row>
    <row r="722" ht="22.5" customHeight="1">
      <c r="C722" s="8" t="str">
        <f t="shared" si="3"/>
        <v/>
      </c>
    </row>
    <row r="723" ht="22.5" customHeight="1">
      <c r="C723" s="8" t="str">
        <f t="shared" si="3"/>
        <v/>
      </c>
    </row>
    <row r="724" ht="22.5" customHeight="1">
      <c r="C724" s="8" t="str">
        <f t="shared" si="3"/>
        <v/>
      </c>
    </row>
    <row r="725" ht="22.5" customHeight="1">
      <c r="C725" s="8" t="str">
        <f t="shared" si="3"/>
        <v/>
      </c>
    </row>
    <row r="726" ht="22.5" customHeight="1">
      <c r="C726" s="8" t="str">
        <f t="shared" si="3"/>
        <v/>
      </c>
    </row>
    <row r="727" ht="22.5" customHeight="1">
      <c r="C727" s="8" t="str">
        <f t="shared" si="3"/>
        <v/>
      </c>
    </row>
    <row r="728" ht="22.5" customHeight="1">
      <c r="C728" s="8" t="str">
        <f t="shared" si="3"/>
        <v/>
      </c>
    </row>
    <row r="729" ht="22.5" customHeight="1">
      <c r="C729" s="8" t="str">
        <f t="shared" si="3"/>
        <v/>
      </c>
    </row>
    <row r="730" ht="22.5" customHeight="1">
      <c r="C730" s="8" t="str">
        <f t="shared" si="3"/>
        <v/>
      </c>
    </row>
    <row r="731" ht="22.5" customHeight="1">
      <c r="C731" s="8" t="str">
        <f t="shared" si="3"/>
        <v/>
      </c>
    </row>
    <row r="732" ht="22.5" customHeight="1">
      <c r="C732" s="8" t="str">
        <f t="shared" si="3"/>
        <v/>
      </c>
    </row>
    <row r="733" ht="22.5" customHeight="1">
      <c r="C733" s="8" t="str">
        <f t="shared" si="3"/>
        <v/>
      </c>
    </row>
    <row r="734" ht="22.5" customHeight="1">
      <c r="C734" s="8" t="str">
        <f t="shared" si="3"/>
        <v/>
      </c>
    </row>
    <row r="735" ht="22.5" customHeight="1">
      <c r="C735" s="8" t="str">
        <f t="shared" si="3"/>
        <v/>
      </c>
    </row>
    <row r="736" ht="22.5" customHeight="1">
      <c r="C736" s="8" t="str">
        <f t="shared" si="3"/>
        <v/>
      </c>
    </row>
    <row r="737" ht="22.5" customHeight="1">
      <c r="C737" s="8" t="str">
        <f t="shared" si="3"/>
        <v/>
      </c>
    </row>
    <row r="738" ht="22.5" customHeight="1">
      <c r="C738" s="8" t="str">
        <f t="shared" si="3"/>
        <v/>
      </c>
    </row>
    <row r="739" ht="22.5" customHeight="1">
      <c r="C739" s="8" t="str">
        <f t="shared" si="3"/>
        <v/>
      </c>
    </row>
    <row r="740" ht="22.5" customHeight="1">
      <c r="C740" s="8" t="str">
        <f t="shared" si="3"/>
        <v/>
      </c>
    </row>
    <row r="741" ht="22.5" customHeight="1">
      <c r="C741" s="8" t="str">
        <f t="shared" si="3"/>
        <v/>
      </c>
    </row>
    <row r="742" ht="22.5" customHeight="1">
      <c r="C742" s="8" t="str">
        <f t="shared" si="3"/>
        <v/>
      </c>
    </row>
    <row r="743" ht="22.5" customHeight="1">
      <c r="C743" s="8" t="str">
        <f t="shared" si="3"/>
        <v/>
      </c>
    </row>
    <row r="744" ht="22.5" customHeight="1">
      <c r="C744" s="8" t="str">
        <f t="shared" si="3"/>
        <v/>
      </c>
    </row>
    <row r="745" ht="22.5" customHeight="1">
      <c r="C745" s="8" t="str">
        <f t="shared" si="3"/>
        <v/>
      </c>
    </row>
    <row r="746" ht="22.5" customHeight="1">
      <c r="C746" s="8" t="str">
        <f t="shared" si="3"/>
        <v/>
      </c>
    </row>
    <row r="747" ht="22.5" customHeight="1">
      <c r="C747" s="8" t="str">
        <f t="shared" si="3"/>
        <v/>
      </c>
    </row>
    <row r="748" ht="22.5" customHeight="1">
      <c r="C748" s="8" t="str">
        <f t="shared" si="3"/>
        <v/>
      </c>
    </row>
    <row r="749" ht="22.5" customHeight="1">
      <c r="C749" s="8" t="str">
        <f t="shared" si="3"/>
        <v/>
      </c>
    </row>
    <row r="750" ht="22.5" customHeight="1">
      <c r="C750" s="8" t="str">
        <f t="shared" si="3"/>
        <v/>
      </c>
    </row>
    <row r="751" ht="22.5" customHeight="1">
      <c r="C751" s="8" t="str">
        <f t="shared" si="3"/>
        <v/>
      </c>
    </row>
    <row r="752" ht="22.5" customHeight="1">
      <c r="C752" s="8" t="str">
        <f t="shared" si="3"/>
        <v/>
      </c>
    </row>
    <row r="753" ht="22.5" customHeight="1">
      <c r="C753" s="8" t="str">
        <f t="shared" si="3"/>
        <v/>
      </c>
    </row>
    <row r="754" ht="22.5" customHeight="1">
      <c r="C754" s="8" t="str">
        <f t="shared" si="3"/>
        <v/>
      </c>
    </row>
    <row r="755" ht="22.5" customHeight="1">
      <c r="C755" s="8" t="str">
        <f t="shared" si="3"/>
        <v/>
      </c>
    </row>
    <row r="756" ht="22.5" customHeight="1">
      <c r="C756" s="8" t="str">
        <f t="shared" si="3"/>
        <v/>
      </c>
    </row>
    <row r="757" ht="22.5" customHeight="1">
      <c r="C757" s="8" t="str">
        <f t="shared" si="3"/>
        <v/>
      </c>
    </row>
    <row r="758" ht="22.5" customHeight="1">
      <c r="C758" s="8" t="str">
        <f t="shared" si="3"/>
        <v/>
      </c>
    </row>
    <row r="759" ht="22.5" customHeight="1">
      <c r="C759" s="8" t="str">
        <f t="shared" si="3"/>
        <v/>
      </c>
    </row>
    <row r="760" ht="22.5" customHeight="1">
      <c r="C760" s="8" t="str">
        <f t="shared" si="3"/>
        <v/>
      </c>
    </row>
    <row r="761" ht="22.5" customHeight="1">
      <c r="C761" s="8" t="str">
        <f t="shared" si="3"/>
        <v/>
      </c>
    </row>
    <row r="762" ht="22.5" customHeight="1">
      <c r="C762" s="8" t="str">
        <f t="shared" si="3"/>
        <v/>
      </c>
    </row>
    <row r="763" ht="22.5" customHeight="1">
      <c r="C763" s="8" t="str">
        <f t="shared" si="3"/>
        <v/>
      </c>
    </row>
    <row r="764" ht="22.5" customHeight="1">
      <c r="C764" s="8" t="str">
        <f t="shared" si="3"/>
        <v/>
      </c>
    </row>
    <row r="765" ht="22.5" customHeight="1">
      <c r="C765" s="8" t="str">
        <f t="shared" si="3"/>
        <v/>
      </c>
    </row>
    <row r="766" ht="22.5" customHeight="1">
      <c r="C766" s="8" t="str">
        <f t="shared" si="3"/>
        <v/>
      </c>
    </row>
    <row r="767" ht="22.5" customHeight="1">
      <c r="C767" s="8" t="str">
        <f t="shared" si="3"/>
        <v/>
      </c>
    </row>
    <row r="768" ht="22.5" customHeight="1">
      <c r="C768" s="8" t="str">
        <f t="shared" si="3"/>
        <v/>
      </c>
    </row>
    <row r="769" ht="22.5" customHeight="1">
      <c r="C769" s="8" t="str">
        <f t="shared" si="3"/>
        <v/>
      </c>
    </row>
    <row r="770" ht="22.5" customHeight="1">
      <c r="C770" s="8" t="str">
        <f t="shared" si="3"/>
        <v/>
      </c>
    </row>
    <row r="771" ht="22.5" customHeight="1">
      <c r="C771" s="8" t="str">
        <f t="shared" si="3"/>
        <v/>
      </c>
    </row>
    <row r="772" ht="22.5" customHeight="1">
      <c r="C772" s="8" t="str">
        <f t="shared" si="3"/>
        <v/>
      </c>
    </row>
    <row r="773" ht="22.5" customHeight="1">
      <c r="C773" s="8" t="str">
        <f t="shared" si="3"/>
        <v/>
      </c>
    </row>
    <row r="774" ht="22.5" customHeight="1">
      <c r="C774" s="8" t="str">
        <f t="shared" si="3"/>
        <v/>
      </c>
    </row>
    <row r="775" ht="22.5" customHeight="1">
      <c r="C775" s="8" t="str">
        <f t="shared" si="3"/>
        <v/>
      </c>
    </row>
    <row r="776" ht="22.5" customHeight="1">
      <c r="C776" s="8" t="str">
        <f t="shared" si="3"/>
        <v/>
      </c>
    </row>
    <row r="777" ht="22.5" customHeight="1">
      <c r="C777" s="8" t="str">
        <f t="shared" si="3"/>
        <v/>
      </c>
    </row>
    <row r="778" ht="22.5" customHeight="1">
      <c r="C778" s="8" t="str">
        <f t="shared" si="3"/>
        <v/>
      </c>
    </row>
    <row r="779" ht="22.5" customHeight="1">
      <c r="C779" s="8" t="str">
        <f t="shared" si="3"/>
        <v/>
      </c>
    </row>
    <row r="780" ht="22.5" customHeight="1">
      <c r="C780" s="8" t="str">
        <f t="shared" si="3"/>
        <v/>
      </c>
    </row>
    <row r="781" ht="22.5" customHeight="1">
      <c r="C781" s="8" t="str">
        <f t="shared" si="3"/>
        <v/>
      </c>
    </row>
    <row r="782" ht="22.5" customHeight="1">
      <c r="C782" s="8" t="str">
        <f t="shared" si="3"/>
        <v/>
      </c>
    </row>
    <row r="783" ht="22.5" customHeight="1">
      <c r="C783" s="8" t="str">
        <f t="shared" si="3"/>
        <v/>
      </c>
    </row>
    <row r="784" ht="22.5" customHeight="1">
      <c r="C784" s="8" t="str">
        <f t="shared" si="3"/>
        <v/>
      </c>
    </row>
    <row r="785" ht="22.5" customHeight="1">
      <c r="C785" s="8" t="str">
        <f t="shared" si="3"/>
        <v/>
      </c>
    </row>
    <row r="786" ht="22.5" customHeight="1">
      <c r="C786" s="8" t="str">
        <f t="shared" si="3"/>
        <v/>
      </c>
    </row>
    <row r="787" ht="22.5" customHeight="1">
      <c r="C787" s="8" t="str">
        <f t="shared" si="3"/>
        <v/>
      </c>
    </row>
    <row r="788" ht="22.5" customHeight="1">
      <c r="C788" s="8" t="str">
        <f t="shared" si="3"/>
        <v/>
      </c>
    </row>
    <row r="789" ht="22.5" customHeight="1">
      <c r="C789" s="8" t="str">
        <f t="shared" si="3"/>
        <v/>
      </c>
    </row>
    <row r="790" ht="22.5" customHeight="1">
      <c r="C790" s="8" t="str">
        <f t="shared" si="3"/>
        <v/>
      </c>
    </row>
    <row r="791" ht="22.5" customHeight="1">
      <c r="C791" s="8" t="str">
        <f t="shared" si="3"/>
        <v/>
      </c>
    </row>
    <row r="792" ht="22.5" customHeight="1">
      <c r="C792" s="8" t="str">
        <f t="shared" si="3"/>
        <v/>
      </c>
    </row>
    <row r="793" ht="22.5" customHeight="1">
      <c r="C793" s="8" t="str">
        <f t="shared" si="3"/>
        <v/>
      </c>
    </row>
    <row r="794" ht="22.5" customHeight="1">
      <c r="C794" s="8" t="str">
        <f t="shared" si="3"/>
        <v/>
      </c>
    </row>
    <row r="795" ht="22.5" customHeight="1">
      <c r="C795" s="8" t="str">
        <f t="shared" si="3"/>
        <v/>
      </c>
    </row>
    <row r="796" ht="22.5" customHeight="1">
      <c r="C796" s="8" t="str">
        <f t="shared" si="3"/>
        <v/>
      </c>
    </row>
    <row r="797" ht="22.5" customHeight="1">
      <c r="C797" s="8" t="str">
        <f t="shared" si="3"/>
        <v/>
      </c>
    </row>
    <row r="798" ht="22.5" customHeight="1">
      <c r="C798" s="8" t="str">
        <f t="shared" si="3"/>
        <v/>
      </c>
    </row>
    <row r="799" ht="22.5" customHeight="1">
      <c r="C799" s="8" t="str">
        <f t="shared" si="3"/>
        <v/>
      </c>
    </row>
    <row r="800" ht="22.5" customHeight="1">
      <c r="C800" s="8" t="str">
        <f t="shared" si="3"/>
        <v/>
      </c>
    </row>
    <row r="801" ht="22.5" customHeight="1">
      <c r="C801" s="8" t="str">
        <f t="shared" si="3"/>
        <v/>
      </c>
    </row>
    <row r="802" ht="22.5" customHeight="1">
      <c r="C802" s="8" t="str">
        <f t="shared" si="3"/>
        <v/>
      </c>
    </row>
    <row r="803" ht="22.5" customHeight="1">
      <c r="C803" s="8" t="str">
        <f t="shared" si="3"/>
        <v/>
      </c>
    </row>
    <row r="804" ht="22.5" customHeight="1">
      <c r="C804" s="8" t="str">
        <f t="shared" si="3"/>
        <v/>
      </c>
    </row>
    <row r="805" ht="22.5" customHeight="1">
      <c r="C805" s="8" t="str">
        <f t="shared" si="3"/>
        <v/>
      </c>
    </row>
    <row r="806" ht="22.5" customHeight="1">
      <c r="C806" s="8" t="str">
        <f t="shared" si="3"/>
        <v/>
      </c>
    </row>
    <row r="807" ht="22.5" customHeight="1">
      <c r="C807" s="8" t="str">
        <f t="shared" si="3"/>
        <v/>
      </c>
    </row>
    <row r="808" ht="22.5" customHeight="1">
      <c r="C808" s="8" t="str">
        <f t="shared" si="3"/>
        <v/>
      </c>
    </row>
    <row r="809" ht="22.5" customHeight="1">
      <c r="C809" s="8" t="str">
        <f t="shared" si="3"/>
        <v/>
      </c>
    </row>
    <row r="810" ht="22.5" customHeight="1">
      <c r="C810" s="8" t="str">
        <f t="shared" si="3"/>
        <v/>
      </c>
    </row>
    <row r="811" ht="22.5" customHeight="1">
      <c r="C811" s="8" t="str">
        <f t="shared" si="3"/>
        <v/>
      </c>
    </row>
    <row r="812" ht="22.5" customHeight="1">
      <c r="C812" s="8" t="str">
        <f t="shared" si="3"/>
        <v/>
      </c>
    </row>
    <row r="813" ht="22.5" customHeight="1">
      <c r="C813" s="8" t="str">
        <f t="shared" si="3"/>
        <v/>
      </c>
    </row>
    <row r="814" ht="22.5" customHeight="1">
      <c r="C814" s="8" t="str">
        <f t="shared" si="3"/>
        <v/>
      </c>
    </row>
    <row r="815" ht="22.5" customHeight="1">
      <c r="C815" s="8" t="str">
        <f t="shared" si="3"/>
        <v/>
      </c>
    </row>
    <row r="816" ht="22.5" customHeight="1">
      <c r="C816" s="8" t="str">
        <f t="shared" si="3"/>
        <v/>
      </c>
    </row>
    <row r="817" ht="22.5" customHeight="1">
      <c r="C817" s="8" t="str">
        <f t="shared" si="3"/>
        <v/>
      </c>
    </row>
    <row r="818" ht="22.5" customHeight="1">
      <c r="C818" s="8" t="str">
        <f t="shared" si="3"/>
        <v/>
      </c>
    </row>
    <row r="819" ht="22.5" customHeight="1">
      <c r="C819" s="8" t="str">
        <f t="shared" si="3"/>
        <v/>
      </c>
    </row>
    <row r="820" ht="22.5" customHeight="1">
      <c r="C820" s="8" t="str">
        <f t="shared" si="3"/>
        <v/>
      </c>
    </row>
    <row r="821" ht="22.5" customHeight="1">
      <c r="C821" s="8" t="str">
        <f t="shared" si="3"/>
        <v/>
      </c>
    </row>
    <row r="822" ht="22.5" customHeight="1">
      <c r="C822" s="8" t="str">
        <f t="shared" si="3"/>
        <v/>
      </c>
    </row>
    <row r="823" ht="22.5" customHeight="1">
      <c r="C823" s="8" t="str">
        <f t="shared" si="3"/>
        <v/>
      </c>
    </row>
    <row r="824" ht="22.5" customHeight="1">
      <c r="C824" s="8" t="str">
        <f t="shared" si="3"/>
        <v/>
      </c>
    </row>
    <row r="825" ht="22.5" customHeight="1">
      <c r="C825" s="8" t="str">
        <f t="shared" si="3"/>
        <v/>
      </c>
    </row>
    <row r="826" ht="22.5" customHeight="1">
      <c r="C826" s="8" t="str">
        <f t="shared" si="3"/>
        <v/>
      </c>
    </row>
    <row r="827" ht="22.5" customHeight="1">
      <c r="C827" s="8" t="str">
        <f t="shared" si="3"/>
        <v/>
      </c>
    </row>
    <row r="828" ht="22.5" customHeight="1">
      <c r="C828" s="8" t="str">
        <f t="shared" si="3"/>
        <v/>
      </c>
    </row>
    <row r="829" ht="22.5" customHeight="1">
      <c r="C829" s="8" t="str">
        <f t="shared" si="3"/>
        <v/>
      </c>
    </row>
    <row r="830" ht="22.5" customHeight="1">
      <c r="C830" s="8" t="str">
        <f t="shared" si="3"/>
        <v/>
      </c>
    </row>
    <row r="831" ht="22.5" customHeight="1">
      <c r="C831" s="8" t="str">
        <f t="shared" si="3"/>
        <v/>
      </c>
    </row>
    <row r="832" ht="22.5" customHeight="1">
      <c r="C832" s="8" t="str">
        <f t="shared" si="3"/>
        <v/>
      </c>
    </row>
    <row r="833" ht="22.5" customHeight="1">
      <c r="C833" s="8" t="str">
        <f t="shared" si="3"/>
        <v/>
      </c>
    </row>
    <row r="834" ht="22.5" customHeight="1">
      <c r="C834" s="8" t="str">
        <f t="shared" si="3"/>
        <v/>
      </c>
    </row>
    <row r="835" ht="22.5" customHeight="1">
      <c r="C835" s="8" t="str">
        <f t="shared" si="3"/>
        <v/>
      </c>
    </row>
    <row r="836" ht="22.5" customHeight="1">
      <c r="C836" s="8" t="str">
        <f t="shared" si="3"/>
        <v/>
      </c>
    </row>
    <row r="837" ht="22.5" customHeight="1">
      <c r="C837" s="8" t="str">
        <f t="shared" si="3"/>
        <v/>
      </c>
    </row>
    <row r="838" ht="22.5" customHeight="1">
      <c r="C838" s="8" t="str">
        <f t="shared" si="3"/>
        <v/>
      </c>
    </row>
    <row r="839" ht="22.5" customHeight="1">
      <c r="C839" s="8" t="str">
        <f t="shared" si="3"/>
        <v/>
      </c>
    </row>
    <row r="840" ht="22.5" customHeight="1">
      <c r="C840" s="8" t="str">
        <f t="shared" si="3"/>
        <v/>
      </c>
    </row>
    <row r="841" ht="22.5" customHeight="1">
      <c r="C841" s="8" t="str">
        <f t="shared" si="3"/>
        <v/>
      </c>
    </row>
    <row r="842" ht="22.5" customHeight="1">
      <c r="C842" s="8" t="str">
        <f t="shared" si="3"/>
        <v/>
      </c>
    </row>
    <row r="843" ht="22.5" customHeight="1">
      <c r="C843" s="8" t="str">
        <f t="shared" si="3"/>
        <v/>
      </c>
    </row>
    <row r="844" ht="22.5" customHeight="1">
      <c r="C844" s="8" t="str">
        <f t="shared" si="3"/>
        <v/>
      </c>
    </row>
    <row r="845" ht="22.5" customHeight="1">
      <c r="C845" s="8" t="str">
        <f t="shared" si="3"/>
        <v/>
      </c>
    </row>
    <row r="846" ht="22.5" customHeight="1">
      <c r="C846" s="8" t="str">
        <f t="shared" si="3"/>
        <v/>
      </c>
    </row>
    <row r="847" ht="22.5" customHeight="1">
      <c r="C847" s="8" t="str">
        <f t="shared" si="3"/>
        <v/>
      </c>
    </row>
    <row r="848" ht="22.5" customHeight="1">
      <c r="C848" s="8" t="str">
        <f t="shared" si="3"/>
        <v/>
      </c>
    </row>
    <row r="849" ht="22.5" customHeight="1">
      <c r="C849" s="8" t="str">
        <f t="shared" si="3"/>
        <v/>
      </c>
    </row>
    <row r="850" ht="22.5" customHeight="1">
      <c r="C850" s="8" t="str">
        <f t="shared" si="3"/>
        <v/>
      </c>
    </row>
    <row r="851" ht="22.5" customHeight="1">
      <c r="C851" s="8" t="str">
        <f t="shared" si="3"/>
        <v/>
      </c>
    </row>
    <row r="852" ht="22.5" customHeight="1">
      <c r="C852" s="8" t="str">
        <f t="shared" si="3"/>
        <v/>
      </c>
    </row>
    <row r="853" ht="22.5" customHeight="1">
      <c r="C853" s="8" t="str">
        <f t="shared" si="3"/>
        <v/>
      </c>
    </row>
    <row r="854" ht="22.5" customHeight="1">
      <c r="C854" s="8" t="str">
        <f t="shared" si="3"/>
        <v/>
      </c>
    </row>
    <row r="855" ht="22.5" customHeight="1">
      <c r="C855" s="8" t="str">
        <f t="shared" si="3"/>
        <v/>
      </c>
    </row>
    <row r="856" ht="22.5" customHeight="1">
      <c r="C856" s="8" t="str">
        <f t="shared" si="3"/>
        <v/>
      </c>
    </row>
    <row r="857" ht="22.5" customHeight="1">
      <c r="C857" s="8" t="str">
        <f t="shared" si="3"/>
        <v/>
      </c>
    </row>
    <row r="858" ht="22.5" customHeight="1">
      <c r="C858" s="8" t="str">
        <f t="shared" si="3"/>
        <v/>
      </c>
    </row>
    <row r="859" ht="22.5" customHeight="1">
      <c r="C859" s="8" t="str">
        <f t="shared" si="3"/>
        <v/>
      </c>
    </row>
    <row r="860" ht="22.5" customHeight="1">
      <c r="C860" s="8" t="str">
        <f t="shared" si="3"/>
        <v/>
      </c>
    </row>
    <row r="861" ht="22.5" customHeight="1">
      <c r="C861" s="8" t="str">
        <f t="shared" si="3"/>
        <v/>
      </c>
    </row>
    <row r="862" ht="22.5" customHeight="1">
      <c r="C862" s="8" t="str">
        <f t="shared" si="3"/>
        <v/>
      </c>
    </row>
    <row r="863" ht="22.5" customHeight="1">
      <c r="C863" s="8" t="str">
        <f t="shared" si="3"/>
        <v/>
      </c>
    </row>
    <row r="864" ht="22.5" customHeight="1">
      <c r="C864" s="8" t="str">
        <f t="shared" si="3"/>
        <v/>
      </c>
    </row>
    <row r="865" ht="22.5" customHeight="1">
      <c r="C865" s="8" t="str">
        <f t="shared" si="3"/>
        <v/>
      </c>
    </row>
    <row r="866" ht="22.5" customHeight="1">
      <c r="C866" s="8" t="str">
        <f t="shared" si="3"/>
        <v/>
      </c>
    </row>
    <row r="867" ht="22.5" customHeight="1">
      <c r="C867" s="8" t="str">
        <f t="shared" si="3"/>
        <v/>
      </c>
    </row>
    <row r="868" ht="22.5" customHeight="1">
      <c r="C868" s="8" t="str">
        <f t="shared" si="3"/>
        <v/>
      </c>
    </row>
    <row r="869" ht="22.5" customHeight="1">
      <c r="C869" s="8" t="str">
        <f t="shared" si="3"/>
        <v/>
      </c>
    </row>
    <row r="870" ht="22.5" customHeight="1">
      <c r="C870" s="8" t="str">
        <f t="shared" si="3"/>
        <v/>
      </c>
    </row>
    <row r="871" ht="22.5" customHeight="1">
      <c r="C871" s="8" t="str">
        <f t="shared" si="3"/>
        <v/>
      </c>
    </row>
    <row r="872" ht="22.5" customHeight="1">
      <c r="C872" s="8" t="str">
        <f t="shared" si="3"/>
        <v/>
      </c>
    </row>
    <row r="873" ht="22.5" customHeight="1">
      <c r="C873" s="8" t="str">
        <f t="shared" si="3"/>
        <v/>
      </c>
    </row>
    <row r="874" ht="22.5" customHeight="1">
      <c r="C874" s="8" t="str">
        <f t="shared" si="3"/>
        <v/>
      </c>
    </row>
    <row r="875" ht="22.5" customHeight="1">
      <c r="C875" s="8" t="str">
        <f t="shared" si="3"/>
        <v/>
      </c>
    </row>
    <row r="876" ht="22.5" customHeight="1">
      <c r="C876" s="8" t="str">
        <f t="shared" si="3"/>
        <v/>
      </c>
    </row>
    <row r="877" ht="22.5" customHeight="1">
      <c r="C877" s="8" t="str">
        <f t="shared" si="3"/>
        <v/>
      </c>
    </row>
    <row r="878" ht="22.5" customHeight="1">
      <c r="C878" s="8" t="str">
        <f t="shared" si="3"/>
        <v/>
      </c>
    </row>
    <row r="879" ht="22.5" customHeight="1">
      <c r="C879" s="8" t="str">
        <f t="shared" si="3"/>
        <v/>
      </c>
    </row>
    <row r="880" ht="22.5" customHeight="1">
      <c r="C880" s="8" t="str">
        <f t="shared" si="3"/>
        <v/>
      </c>
    </row>
    <row r="881" ht="22.5" customHeight="1">
      <c r="C881" s="8" t="str">
        <f t="shared" si="3"/>
        <v/>
      </c>
    </row>
    <row r="882" ht="22.5" customHeight="1">
      <c r="C882" s="8" t="str">
        <f t="shared" si="3"/>
        <v/>
      </c>
    </row>
    <row r="883" ht="22.5" customHeight="1">
      <c r="C883" s="8" t="str">
        <f t="shared" si="3"/>
        <v/>
      </c>
    </row>
    <row r="884" ht="22.5" customHeight="1">
      <c r="C884" s="8" t="str">
        <f t="shared" si="3"/>
        <v/>
      </c>
    </row>
    <row r="885" ht="22.5" customHeight="1">
      <c r="C885" s="8" t="str">
        <f t="shared" si="3"/>
        <v/>
      </c>
    </row>
    <row r="886" ht="22.5" customHeight="1">
      <c r="C886" s="8" t="str">
        <f t="shared" si="3"/>
        <v/>
      </c>
    </row>
    <row r="887" ht="22.5" customHeight="1">
      <c r="C887" s="8" t="str">
        <f t="shared" si="3"/>
        <v/>
      </c>
    </row>
    <row r="888" ht="22.5" customHeight="1">
      <c r="C888" s="8" t="str">
        <f t="shared" si="3"/>
        <v/>
      </c>
    </row>
    <row r="889" ht="22.5" customHeight="1">
      <c r="C889" s="8" t="str">
        <f t="shared" si="3"/>
        <v/>
      </c>
    </row>
    <row r="890" ht="22.5" customHeight="1">
      <c r="C890" s="8" t="str">
        <f t="shared" si="3"/>
        <v/>
      </c>
    </row>
    <row r="891" ht="22.5" customHeight="1">
      <c r="C891" s="8" t="str">
        <f t="shared" si="3"/>
        <v/>
      </c>
    </row>
    <row r="892" ht="22.5" customHeight="1">
      <c r="C892" s="8" t="str">
        <f t="shared" si="3"/>
        <v/>
      </c>
    </row>
    <row r="893" ht="22.5" customHeight="1">
      <c r="C893" s="8" t="str">
        <f t="shared" si="3"/>
        <v/>
      </c>
    </row>
    <row r="894" ht="22.5" customHeight="1">
      <c r="C894" s="8" t="str">
        <f t="shared" si="3"/>
        <v/>
      </c>
    </row>
    <row r="895" ht="22.5" customHeight="1">
      <c r="C895" s="8" t="str">
        <f t="shared" si="3"/>
        <v/>
      </c>
    </row>
    <row r="896" ht="22.5" customHeight="1">
      <c r="C896" s="8" t="str">
        <f t="shared" si="3"/>
        <v/>
      </c>
    </row>
    <row r="897" ht="22.5" customHeight="1">
      <c r="C897" s="8" t="str">
        <f t="shared" si="3"/>
        <v/>
      </c>
    </row>
    <row r="898" ht="22.5" customHeight="1">
      <c r="C898" s="8" t="str">
        <f t="shared" si="3"/>
        <v/>
      </c>
    </row>
    <row r="899" ht="22.5" customHeight="1">
      <c r="C899" s="8" t="str">
        <f t="shared" si="3"/>
        <v/>
      </c>
    </row>
    <row r="900" ht="22.5" customHeight="1">
      <c r="C900" s="8" t="str">
        <f t="shared" si="3"/>
        <v/>
      </c>
    </row>
    <row r="901" ht="22.5" customHeight="1">
      <c r="C901" s="8" t="str">
        <f t="shared" si="3"/>
        <v/>
      </c>
    </row>
    <row r="902" ht="22.5" customHeight="1">
      <c r="C902" s="8" t="str">
        <f t="shared" si="3"/>
        <v/>
      </c>
    </row>
    <row r="903" ht="22.5" customHeight="1">
      <c r="C903" s="8" t="str">
        <f t="shared" si="3"/>
        <v/>
      </c>
    </row>
    <row r="904" ht="22.5" customHeight="1">
      <c r="C904" s="8" t="str">
        <f t="shared" si="3"/>
        <v/>
      </c>
    </row>
    <row r="905" ht="22.5" customHeight="1">
      <c r="C905" s="8" t="str">
        <f t="shared" si="3"/>
        <v/>
      </c>
    </row>
    <row r="906" ht="22.5" customHeight="1">
      <c r="C906" s="8" t="str">
        <f t="shared" si="3"/>
        <v/>
      </c>
    </row>
    <row r="907" ht="22.5" customHeight="1">
      <c r="C907" s="8" t="str">
        <f t="shared" si="3"/>
        <v/>
      </c>
    </row>
    <row r="908" ht="22.5" customHeight="1">
      <c r="C908" s="8" t="str">
        <f t="shared" si="3"/>
        <v/>
      </c>
    </row>
    <row r="909" ht="22.5" customHeight="1">
      <c r="C909" s="8" t="str">
        <f t="shared" si="3"/>
        <v/>
      </c>
    </row>
    <row r="910" ht="22.5" customHeight="1">
      <c r="C910" s="8" t="str">
        <f t="shared" si="3"/>
        <v/>
      </c>
    </row>
    <row r="911" ht="22.5" customHeight="1">
      <c r="C911" s="8" t="str">
        <f t="shared" si="3"/>
        <v/>
      </c>
    </row>
    <row r="912" ht="22.5" customHeight="1">
      <c r="C912" s="8" t="str">
        <f t="shared" si="3"/>
        <v/>
      </c>
    </row>
    <row r="913" ht="22.5" customHeight="1">
      <c r="C913" s="8" t="str">
        <f t="shared" si="3"/>
        <v/>
      </c>
    </row>
    <row r="914" ht="22.5" customHeight="1">
      <c r="C914" s="8" t="str">
        <f t="shared" si="3"/>
        <v/>
      </c>
    </row>
    <row r="915" ht="22.5" customHeight="1">
      <c r="C915" s="8" t="str">
        <f t="shared" si="3"/>
        <v/>
      </c>
    </row>
    <row r="916" ht="22.5" customHeight="1">
      <c r="C916" s="8" t="str">
        <f t="shared" si="3"/>
        <v/>
      </c>
    </row>
    <row r="917" ht="22.5" customHeight="1">
      <c r="C917" s="8" t="str">
        <f t="shared" si="3"/>
        <v/>
      </c>
    </row>
    <row r="918" ht="22.5" customHeight="1">
      <c r="C918" s="8" t="str">
        <f t="shared" si="3"/>
        <v/>
      </c>
    </row>
    <row r="919" ht="22.5" customHeight="1">
      <c r="C919" s="8" t="str">
        <f t="shared" si="3"/>
        <v/>
      </c>
    </row>
    <row r="920" ht="22.5" customHeight="1">
      <c r="C920" s="8" t="str">
        <f t="shared" si="3"/>
        <v/>
      </c>
    </row>
    <row r="921" ht="22.5" customHeight="1">
      <c r="C921" s="8" t="str">
        <f t="shared" si="3"/>
        <v/>
      </c>
    </row>
    <row r="922" ht="22.5" customHeight="1">
      <c r="C922" s="8" t="str">
        <f t="shared" si="3"/>
        <v/>
      </c>
    </row>
    <row r="923" ht="22.5" customHeight="1">
      <c r="C923" s="8" t="str">
        <f t="shared" si="3"/>
        <v/>
      </c>
    </row>
    <row r="924" ht="22.5" customHeight="1">
      <c r="C924" s="8" t="str">
        <f t="shared" si="3"/>
        <v/>
      </c>
    </row>
    <row r="925" ht="22.5" customHeight="1">
      <c r="C925" s="8" t="str">
        <f t="shared" si="3"/>
        <v/>
      </c>
    </row>
    <row r="926" ht="22.5" customHeight="1">
      <c r="C926" s="8" t="str">
        <f t="shared" si="3"/>
        <v/>
      </c>
    </row>
    <row r="927" ht="22.5" customHeight="1">
      <c r="C927" s="8" t="str">
        <f t="shared" si="3"/>
        <v/>
      </c>
    </row>
    <row r="928" ht="22.5" customHeight="1">
      <c r="C928" s="8" t="str">
        <f t="shared" si="3"/>
        <v/>
      </c>
    </row>
    <row r="929" ht="22.5" customHeight="1">
      <c r="C929" s="8" t="str">
        <f t="shared" si="3"/>
        <v/>
      </c>
    </row>
    <row r="930" ht="22.5" customHeight="1">
      <c r="C930" s="8" t="str">
        <f t="shared" si="3"/>
        <v/>
      </c>
    </row>
    <row r="931" ht="22.5" customHeight="1">
      <c r="C931" s="8" t="str">
        <f t="shared" si="3"/>
        <v/>
      </c>
    </row>
    <row r="932" ht="22.5" customHeight="1">
      <c r="C932" s="8" t="str">
        <f t="shared" si="3"/>
        <v/>
      </c>
    </row>
    <row r="933" ht="22.5" customHeight="1">
      <c r="C933" s="8" t="str">
        <f t="shared" si="3"/>
        <v/>
      </c>
    </row>
    <row r="934" ht="22.5" customHeight="1">
      <c r="C934" s="8" t="str">
        <f t="shared" si="3"/>
        <v/>
      </c>
    </row>
    <row r="935" ht="22.5" customHeight="1">
      <c r="C935" s="8" t="str">
        <f t="shared" si="3"/>
        <v/>
      </c>
    </row>
    <row r="936" ht="22.5" customHeight="1">
      <c r="C936" s="8" t="str">
        <f t="shared" si="3"/>
        <v/>
      </c>
    </row>
    <row r="937" ht="22.5" customHeight="1">
      <c r="C937" s="8" t="str">
        <f t="shared" si="3"/>
        <v/>
      </c>
    </row>
    <row r="938" ht="22.5" customHeight="1">
      <c r="C938" s="8" t="str">
        <f t="shared" si="3"/>
        <v/>
      </c>
    </row>
    <row r="939" ht="22.5" customHeight="1">
      <c r="C939" s="8" t="str">
        <f t="shared" si="3"/>
        <v/>
      </c>
    </row>
    <row r="940" ht="22.5" customHeight="1">
      <c r="C940" s="8" t="str">
        <f t="shared" si="3"/>
        <v/>
      </c>
    </row>
    <row r="941" ht="22.5" customHeight="1">
      <c r="C941" s="8" t="str">
        <f t="shared" si="3"/>
        <v/>
      </c>
    </row>
    <row r="942" ht="22.5" customHeight="1">
      <c r="C942" s="8" t="str">
        <f t="shared" si="3"/>
        <v/>
      </c>
    </row>
    <row r="943" ht="22.5" customHeight="1">
      <c r="C943" s="8" t="str">
        <f t="shared" si="3"/>
        <v/>
      </c>
    </row>
    <row r="944" ht="22.5" customHeight="1">
      <c r="C944" s="8" t="str">
        <f t="shared" si="3"/>
        <v/>
      </c>
    </row>
    <row r="945" ht="22.5" customHeight="1">
      <c r="C945" s="8" t="str">
        <f t="shared" si="3"/>
        <v/>
      </c>
    </row>
    <row r="946" ht="22.5" customHeight="1">
      <c r="C946" s="8" t="str">
        <f t="shared" si="3"/>
        <v/>
      </c>
    </row>
    <row r="947" ht="22.5" customHeight="1">
      <c r="C947" s="8" t="str">
        <f t="shared" si="3"/>
        <v/>
      </c>
    </row>
    <row r="948" ht="22.5" customHeight="1">
      <c r="C948" s="8" t="str">
        <f t="shared" si="3"/>
        <v/>
      </c>
    </row>
    <row r="949" ht="22.5" customHeight="1">
      <c r="C949" s="8" t="str">
        <f t="shared" si="3"/>
        <v/>
      </c>
    </row>
    <row r="950" ht="22.5" customHeight="1">
      <c r="C950" s="8" t="str">
        <f t="shared" si="3"/>
        <v/>
      </c>
    </row>
    <row r="951" ht="22.5" customHeight="1">
      <c r="C951" s="8" t="str">
        <f t="shared" si="3"/>
        <v/>
      </c>
    </row>
    <row r="952" ht="22.5" customHeight="1">
      <c r="C952" s="8" t="str">
        <f t="shared" si="3"/>
        <v/>
      </c>
    </row>
    <row r="953" ht="22.5" customHeight="1">
      <c r="C953" s="8" t="str">
        <f t="shared" si="3"/>
        <v/>
      </c>
    </row>
    <row r="954" ht="22.5" customHeight="1">
      <c r="C954" s="8" t="str">
        <f t="shared" si="3"/>
        <v/>
      </c>
    </row>
    <row r="955" ht="22.5" customHeight="1">
      <c r="C955" s="8" t="str">
        <f t="shared" si="3"/>
        <v/>
      </c>
    </row>
    <row r="956" ht="22.5" customHeight="1">
      <c r="C956" s="8" t="str">
        <f t="shared" si="3"/>
        <v/>
      </c>
    </row>
    <row r="957" ht="22.5" customHeight="1">
      <c r="C957" s="8" t="str">
        <f t="shared" si="3"/>
        <v/>
      </c>
    </row>
    <row r="958" ht="22.5" customHeight="1">
      <c r="C958" s="8" t="str">
        <f t="shared" si="3"/>
        <v/>
      </c>
    </row>
    <row r="959" ht="22.5" customHeight="1">
      <c r="C959" s="8" t="str">
        <f t="shared" si="3"/>
        <v/>
      </c>
    </row>
    <row r="960" ht="22.5" customHeight="1">
      <c r="C960" s="8" t="str">
        <f t="shared" si="3"/>
        <v/>
      </c>
    </row>
    <row r="961" ht="22.5" customHeight="1">
      <c r="C961" s="8" t="str">
        <f t="shared" si="3"/>
        <v/>
      </c>
    </row>
    <row r="962" ht="22.5" customHeight="1">
      <c r="C962" s="8" t="str">
        <f t="shared" si="3"/>
        <v/>
      </c>
    </row>
    <row r="963" ht="22.5" customHeight="1">
      <c r="C963" s="8" t="str">
        <f t="shared" si="3"/>
        <v/>
      </c>
    </row>
    <row r="964" ht="22.5" customHeight="1">
      <c r="C964" s="8" t="str">
        <f t="shared" si="3"/>
        <v/>
      </c>
    </row>
    <row r="965" ht="22.5" customHeight="1">
      <c r="C965" s="8" t="str">
        <f t="shared" si="3"/>
        <v/>
      </c>
    </row>
    <row r="966" ht="22.5" customHeight="1">
      <c r="C966" s="8" t="str">
        <f t="shared" si="3"/>
        <v/>
      </c>
    </row>
    <row r="967" ht="22.5" customHeight="1">
      <c r="C967" s="8" t="str">
        <f t="shared" si="3"/>
        <v/>
      </c>
    </row>
    <row r="968" ht="22.5" customHeight="1">
      <c r="C968" s="8" t="str">
        <f t="shared" si="3"/>
        <v/>
      </c>
    </row>
    <row r="969" ht="22.5" customHeight="1">
      <c r="C969" s="8" t="str">
        <f t="shared" si="3"/>
        <v/>
      </c>
    </row>
    <row r="970" ht="22.5" customHeight="1">
      <c r="C970" s="8" t="str">
        <f t="shared" si="3"/>
        <v/>
      </c>
    </row>
    <row r="971" ht="22.5" customHeight="1">
      <c r="C971" s="8" t="str">
        <f t="shared" si="3"/>
        <v/>
      </c>
    </row>
    <row r="972" ht="22.5" customHeight="1">
      <c r="C972" s="8" t="str">
        <f t="shared" si="3"/>
        <v/>
      </c>
    </row>
    <row r="973" ht="22.5" customHeight="1">
      <c r="C973" s="8" t="str">
        <f t="shared" si="3"/>
        <v/>
      </c>
    </row>
    <row r="974" ht="22.5" customHeight="1">
      <c r="C974" s="8" t="str">
        <f t="shared" si="3"/>
        <v/>
      </c>
    </row>
    <row r="975" ht="22.5" customHeight="1">
      <c r="C975" s="8" t="str">
        <f t="shared" si="3"/>
        <v/>
      </c>
    </row>
    <row r="976" ht="22.5" customHeight="1">
      <c r="C976" s="8" t="str">
        <f t="shared" si="3"/>
        <v/>
      </c>
    </row>
    <row r="977" ht="22.5" customHeight="1">
      <c r="C977" s="8" t="str">
        <f t="shared" si="3"/>
        <v/>
      </c>
    </row>
    <row r="978" ht="22.5" customHeight="1">
      <c r="C978" s="8" t="str">
        <f t="shared" si="3"/>
        <v/>
      </c>
    </row>
    <row r="979" ht="22.5" customHeight="1">
      <c r="C979" s="8" t="str">
        <f t="shared" si="3"/>
        <v/>
      </c>
    </row>
    <row r="980" ht="22.5" customHeight="1">
      <c r="C980" s="8" t="str">
        <f t="shared" si="3"/>
        <v/>
      </c>
    </row>
    <row r="981" ht="22.5" customHeight="1">
      <c r="C981" s="8" t="str">
        <f t="shared" si="3"/>
        <v/>
      </c>
    </row>
    <row r="982" ht="22.5" customHeight="1">
      <c r="C982" s="8" t="str">
        <f t="shared" si="3"/>
        <v/>
      </c>
    </row>
    <row r="983" ht="22.5" customHeight="1">
      <c r="C983" s="8" t="str">
        <f t="shared" si="3"/>
        <v/>
      </c>
    </row>
    <row r="984" ht="22.5" customHeight="1">
      <c r="C984" s="8" t="str">
        <f t="shared" si="3"/>
        <v/>
      </c>
    </row>
    <row r="985" ht="22.5" customHeight="1">
      <c r="C985" s="8" t="str">
        <f t="shared" si="3"/>
        <v/>
      </c>
    </row>
    <row r="986" ht="22.5" customHeight="1">
      <c r="C986" s="8" t="str">
        <f t="shared" si="3"/>
        <v/>
      </c>
    </row>
    <row r="987" ht="22.5" customHeight="1">
      <c r="C987" s="8" t="str">
        <f t="shared" si="3"/>
        <v/>
      </c>
    </row>
    <row r="988" ht="22.5" customHeight="1">
      <c r="C988" s="8" t="str">
        <f t="shared" si="3"/>
        <v/>
      </c>
    </row>
    <row r="989" ht="22.5" customHeight="1">
      <c r="C989" s="8" t="str">
        <f t="shared" si="3"/>
        <v/>
      </c>
    </row>
    <row r="990" ht="22.5" customHeight="1">
      <c r="C990" s="8" t="str">
        <f t="shared" si="3"/>
        <v/>
      </c>
    </row>
    <row r="991" ht="22.5" customHeight="1">
      <c r="C991" s="8" t="str">
        <f t="shared" si="3"/>
        <v/>
      </c>
    </row>
    <row r="992" ht="22.5" customHeight="1">
      <c r="C992" s="8" t="str">
        <f t="shared" si="3"/>
        <v/>
      </c>
    </row>
    <row r="993" ht="22.5" customHeight="1">
      <c r="C993" s="8" t="str">
        <f t="shared" si="3"/>
        <v/>
      </c>
    </row>
    <row r="994" ht="22.5" customHeight="1">
      <c r="C994" s="8" t="str">
        <f t="shared" si="3"/>
        <v/>
      </c>
    </row>
    <row r="995" ht="22.5" customHeight="1">
      <c r="C995" s="8" t="str">
        <f t="shared" si="3"/>
        <v/>
      </c>
    </row>
    <row r="996" ht="22.5" customHeight="1">
      <c r="C996" s="8" t="str">
        <f t="shared" si="3"/>
        <v/>
      </c>
    </row>
    <row r="997" ht="22.5" customHeight="1">
      <c r="C997" s="8" t="str">
        <f t="shared" si="3"/>
        <v/>
      </c>
    </row>
    <row r="998" ht="22.5" customHeight="1">
      <c r="C998" s="8" t="str">
        <f t="shared" si="3"/>
        <v/>
      </c>
    </row>
    <row r="999" ht="22.5" customHeight="1">
      <c r="C999" s="8" t="str">
        <f t="shared" si="3"/>
        <v/>
      </c>
    </row>
    <row r="1000" ht="22.5" customHeight="1">
      <c r="C1000" s="8" t="str">
        <f t="shared" si="3"/>
        <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2.88"/>
    <col customWidth="1" min="3" max="3" width="22.5"/>
    <col customWidth="1" min="4" max="4" width="24.88"/>
    <col customWidth="1" min="5" max="5" width="22.5"/>
    <col customWidth="1" min="6" max="6" width="21.13"/>
    <col customWidth="1" min="7" max="7" width="18.88"/>
  </cols>
  <sheetData>
    <row r="1"/>
    <row r="2"/>
    <row r="3"/>
    <row r="4"/>
    <row r="5"/>
    <row r="6"/>
    <row r="7"/>
    <row r="8"/>
    <row r="12">
      <c r="A12" s="19" t="s">
        <v>5</v>
      </c>
      <c r="B12" s="20" t="s">
        <v>127</v>
      </c>
      <c r="C12" s="20" t="s">
        <v>128</v>
      </c>
      <c r="D12" s="20" t="s">
        <v>129</v>
      </c>
      <c r="E12" s="20" t="s">
        <v>130</v>
      </c>
    </row>
    <row r="13">
      <c r="A13" s="21">
        <f t="shared" ref="A13:A18" si="2">A3</f>
        <v>1</v>
      </c>
      <c r="B13" s="22">
        <f t="shared" ref="B13:E13" si="1">D3</f>
        <v>62.81937356</v>
      </c>
      <c r="C13" s="22">
        <f t="shared" si="1"/>
        <v>16.54838821</v>
      </c>
      <c r="D13" s="22">
        <f t="shared" si="1"/>
        <v>15.21093083</v>
      </c>
      <c r="E13" s="22">
        <f t="shared" si="1"/>
        <v>5.421307393</v>
      </c>
    </row>
    <row r="14">
      <c r="A14" s="21">
        <f t="shared" si="2"/>
        <v>2</v>
      </c>
      <c r="B14" s="22">
        <f t="shared" ref="B14:E14" si="3">D4</f>
        <v>82.21049288</v>
      </c>
      <c r="C14" s="22">
        <f t="shared" si="3"/>
        <v>5.688425074</v>
      </c>
      <c r="D14" s="22">
        <f t="shared" si="3"/>
        <v>7.898143786</v>
      </c>
      <c r="E14" s="22">
        <f t="shared" si="3"/>
        <v>4.285348813</v>
      </c>
    </row>
    <row r="15">
      <c r="A15" s="21">
        <f t="shared" si="2"/>
        <v>3</v>
      </c>
      <c r="B15" s="22">
        <f t="shared" ref="B15:E15" si="4">D5</f>
        <v>96.430472</v>
      </c>
      <c r="C15" s="22">
        <f t="shared" si="4"/>
        <v>1.561189554</v>
      </c>
      <c r="D15" s="22">
        <f t="shared" si="4"/>
        <v>1.483406065</v>
      </c>
      <c r="E15" s="22">
        <f t="shared" si="4"/>
        <v>0.5726535552</v>
      </c>
    </row>
    <row r="16">
      <c r="A16" s="21">
        <f t="shared" si="2"/>
        <v>4</v>
      </c>
      <c r="B16" s="22">
        <f t="shared" ref="B16:E16" si="5">D6</f>
        <v>99.56019792</v>
      </c>
      <c r="C16" s="22">
        <f t="shared" si="5"/>
        <v>0.1769010855</v>
      </c>
      <c r="D16" s="22">
        <f t="shared" si="5"/>
        <v>0.2408458913</v>
      </c>
      <c r="E16" s="22">
        <f t="shared" si="5"/>
        <v>0.02205537705</v>
      </c>
    </row>
    <row r="17">
      <c r="A17" s="23" t="str">
        <f t="shared" si="2"/>
        <v/>
      </c>
      <c r="B17" s="24" t="str">
        <f t="shared" ref="B17:E17" si="6">D7</f>
        <v>#DIV/0!</v>
      </c>
      <c r="C17" s="24" t="str">
        <f t="shared" si="6"/>
        <v>#DIV/0!</v>
      </c>
      <c r="D17" s="24" t="str">
        <f t="shared" si="6"/>
        <v>#DIV/0!</v>
      </c>
      <c r="E17" s="24" t="str">
        <f t="shared" si="6"/>
        <v>#DIV/0!</v>
      </c>
    </row>
    <row r="18">
      <c r="A18" s="23" t="str">
        <f t="shared" si="2"/>
        <v>Grand Total</v>
      </c>
      <c r="B18" s="24">
        <f t="shared" ref="B18:E18" si="7">D8</f>
        <v>89.86478253</v>
      </c>
      <c r="C18" s="24">
        <f t="shared" si="7"/>
        <v>3.865265345</v>
      </c>
      <c r="D18" s="24">
        <f t="shared" si="7"/>
        <v>4.418010654</v>
      </c>
      <c r="E18" s="24">
        <f t="shared" si="7"/>
        <v>1.915488584</v>
      </c>
    </row>
    <row r="19">
      <c r="A19" s="25"/>
      <c r="B19" s="25"/>
      <c r="C19" s="25"/>
      <c r="D19" s="25"/>
      <c r="E19" s="25"/>
    </row>
    <row r="20">
      <c r="A20" s="18" t="str">
        <f>A9</f>
        <v/>
      </c>
    </row>
    <row r="45">
      <c r="A45" s="26" t="s">
        <v>5</v>
      </c>
      <c r="B45" s="27" t="s">
        <v>126</v>
      </c>
    </row>
    <row r="46">
      <c r="A46" s="23">
        <f t="shared" ref="A46:A49" si="8">A3</f>
        <v>1</v>
      </c>
      <c r="B46" s="23">
        <f t="shared" ref="B46:B49" si="9">C3</f>
        <v>36.04465338</v>
      </c>
    </row>
    <row r="47">
      <c r="A47" s="23">
        <f t="shared" si="8"/>
        <v>2</v>
      </c>
      <c r="B47" s="23">
        <f t="shared" si="9"/>
        <v>48.78990351</v>
      </c>
    </row>
    <row r="48">
      <c r="A48" s="23">
        <f t="shared" si="8"/>
        <v>3</v>
      </c>
      <c r="B48" s="23">
        <f t="shared" si="9"/>
        <v>64.68569565</v>
      </c>
    </row>
    <row r="49">
      <c r="A49" s="23">
        <f t="shared" si="8"/>
        <v>4</v>
      </c>
      <c r="B49" s="23">
        <f t="shared" si="9"/>
        <v>79.35545728</v>
      </c>
    </row>
    <row r="50">
      <c r="A50" s="25"/>
      <c r="B50" s="25"/>
    </row>
    <row r="56">
      <c r="H56" s="28"/>
    </row>
    <row r="66">
      <c r="G66" s="28"/>
    </row>
    <row r="72">
      <c r="A72" s="29" t="s">
        <v>5</v>
      </c>
      <c r="B72" s="30" t="s">
        <v>136</v>
      </c>
    </row>
    <row r="73">
      <c r="A73" s="23">
        <f t="shared" ref="A73:B73" si="10">A3</f>
        <v>1</v>
      </c>
      <c r="B73" s="23">
        <f t="shared" si="10"/>
        <v>590425162.1</v>
      </c>
    </row>
    <row r="74">
      <c r="A74" s="23">
        <f t="shared" ref="A74:B74" si="11">A4</f>
        <v>2</v>
      </c>
      <c r="B74" s="23">
        <f t="shared" si="11"/>
        <v>3399310231</v>
      </c>
    </row>
    <row r="75">
      <c r="A75" s="23">
        <f t="shared" ref="A75:B75" si="12">A5</f>
        <v>3</v>
      </c>
      <c r="B75" s="23">
        <f t="shared" si="12"/>
        <v>2547637907</v>
      </c>
    </row>
    <row r="76">
      <c r="A76" s="23">
        <f t="shared" ref="A76:B76" si="13">A6</f>
        <v>4</v>
      </c>
      <c r="B76" s="23">
        <f t="shared" si="13"/>
        <v>1212076068</v>
      </c>
    </row>
    <row r="77">
      <c r="A77" s="25"/>
      <c r="B77" s="25"/>
    </row>
    <row r="78">
      <c r="A78" s="18" t="str">
        <f>A7</f>
        <v/>
      </c>
    </row>
  </sheetData>
  <dataValidations>
    <dataValidation type="custom" allowBlank="1" showDropDown="1" sqref="B13:E18">
      <formula1>AND(ISNUMBER(B13),(NOT(OR(NOT(ISERROR(DATEVALUE(B13))), AND(ISNUMBER(B13), LEFT(CELL("format", B13))="D")))))</formula1>
    </dataValidation>
  </dataValidations>
  <drawing r:id="rId2"/>
  <tableParts count="3">
    <tablePart r:id="rId6"/>
    <tablePart r:id="rId7"/>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8.38"/>
    <col customWidth="1" min="3" max="3" width="18.25"/>
  </cols>
  <sheetData>
    <row r="1">
      <c r="A1" s="1" t="s">
        <v>0</v>
      </c>
      <c r="B1" s="1" t="s">
        <v>1</v>
      </c>
      <c r="C1" s="1" t="s">
        <v>2</v>
      </c>
    </row>
    <row r="2">
      <c r="A2" s="2">
        <f>'Estimates-on-the-use-of-water-('!Y2</f>
        <v>0</v>
      </c>
      <c r="B2" s="2">
        <f>'Estimates-on-the-use-of-water-('!Z8</f>
        <v>0</v>
      </c>
      <c r="C2" s="2">
        <f>'Estimates-on-the-use-of-water-('!AA2</f>
        <v>1</v>
      </c>
    </row>
    <row r="3">
      <c r="A3" s="3">
        <f>'Estimates-on-the-use-of-water-('!Y10</f>
        <v>0</v>
      </c>
      <c r="B3" s="3">
        <f>'Estimates-on-the-use-of-water-('!Z9</f>
        <v>0</v>
      </c>
      <c r="C3" s="3">
        <f>'Estimates-on-the-use-of-water-('!AA3</f>
        <v>1</v>
      </c>
    </row>
    <row r="4">
      <c r="A4" s="2">
        <f>'Estimates-on-the-use-of-water-('!Y5</f>
        <v>10</v>
      </c>
      <c r="B4" s="2">
        <f>'Estimates-on-the-use-of-water-('!Z15</f>
        <v>0</v>
      </c>
      <c r="C4" s="2">
        <f>'Estimates-on-the-use-of-water-('!AA4</f>
        <v>1</v>
      </c>
    </row>
    <row r="5">
      <c r="A5" s="3">
        <f>'Estimates-on-the-use-of-water-('!Y118</f>
        <v>14</v>
      </c>
      <c r="B5" s="3">
        <f>'Estimates-on-the-use-of-water-('!Z18</f>
        <v>0</v>
      </c>
      <c r="C5" s="3">
        <f>'Estimates-on-the-use-of-water-('!AA5</f>
        <v>1</v>
      </c>
    </row>
    <row r="6">
      <c r="A6" s="2">
        <f>'Estimates-on-the-use-of-water-('!Y138</f>
        <v>14</v>
      </c>
      <c r="B6" s="2">
        <f>'Estimates-on-the-use-of-water-('!Z19</f>
        <v>0</v>
      </c>
      <c r="C6" s="2">
        <f>'Estimates-on-the-use-of-water-('!AA6</f>
        <v>1</v>
      </c>
    </row>
    <row r="7">
      <c r="A7" s="3">
        <f>'Estimates-on-the-use-of-water-('!Y17</f>
        <v>15</v>
      </c>
      <c r="B7" s="3">
        <f>'Estimates-on-the-use-of-water-('!Z25</f>
        <v>0</v>
      </c>
      <c r="C7" s="3">
        <f>'Estimates-on-the-use-of-water-('!AA7</f>
        <v>1</v>
      </c>
    </row>
    <row r="8">
      <c r="A8" s="2">
        <f>'Estimates-on-the-use-of-water-('!Y159</f>
        <v>17</v>
      </c>
      <c r="B8" s="2">
        <f>'Estimates-on-the-use-of-water-('!Z52</f>
        <v>0</v>
      </c>
      <c r="C8" s="2">
        <f>'Estimates-on-the-use-of-water-('!AA8</f>
        <v>1</v>
      </c>
    </row>
    <row r="9">
      <c r="A9" s="3">
        <f>'Estimates-on-the-use-of-water-('!Y33</f>
        <v>18</v>
      </c>
      <c r="B9" s="3">
        <f>'Estimates-on-the-use-of-water-('!Z87</f>
        <v>0</v>
      </c>
      <c r="C9" s="3">
        <f>'Estimates-on-the-use-of-water-('!AA9</f>
        <v>1</v>
      </c>
    </row>
    <row r="10">
      <c r="A10" s="2">
        <f>'Estimates-on-the-use-of-water-('!Y140</f>
        <v>18</v>
      </c>
      <c r="B10" s="2">
        <f>'Estimates-on-the-use-of-water-('!Z102</f>
        <v>0</v>
      </c>
      <c r="C10" s="2">
        <f>'Estimates-on-the-use-of-water-('!AA10</f>
        <v>1</v>
      </c>
    </row>
    <row r="11">
      <c r="A11" s="3">
        <f>'Estimates-on-the-use-of-water-('!Y154</f>
        <v>18</v>
      </c>
      <c r="B11" s="3">
        <f>'Estimates-on-the-use-of-water-('!Z112</f>
        <v>0</v>
      </c>
      <c r="C11" s="3">
        <f>'Estimates-on-the-use-of-water-('!AA11</f>
        <v>1</v>
      </c>
    </row>
    <row r="12">
      <c r="A12" s="2">
        <f>'Estimates-on-the-use-of-water-('!Y32</f>
        <v>19</v>
      </c>
      <c r="B12" s="2">
        <f>'Estimates-on-the-use-of-water-('!Z56</f>
        <v>1</v>
      </c>
      <c r="C12" s="2">
        <f>'Estimates-on-the-use-of-water-('!AA12</f>
        <v>1</v>
      </c>
    </row>
    <row r="13">
      <c r="A13" s="3">
        <f>'Estimates-on-the-use-of-water-('!Y158</f>
        <v>19</v>
      </c>
      <c r="B13" s="3">
        <f>'Estimates-on-the-use-of-water-('!Z78</f>
        <v>1</v>
      </c>
      <c r="C13" s="3">
        <f>'Estimates-on-the-use-of-water-('!AA13</f>
        <v>1</v>
      </c>
    </row>
    <row r="14">
      <c r="A14" s="2">
        <f>'Estimates-on-the-use-of-water-('!Y132</f>
        <v>21</v>
      </c>
      <c r="B14" s="2">
        <f>'Estimates-on-the-use-of-water-('!Z44</f>
        <v>2</v>
      </c>
      <c r="C14" s="2">
        <f>'Estimates-on-the-use-of-water-('!AA14</f>
        <v>1</v>
      </c>
    </row>
    <row r="15">
      <c r="A15" s="3">
        <f>'Estimates-on-the-use-of-water-('!Y166</f>
        <v>21</v>
      </c>
      <c r="B15" s="3">
        <f>'Estimates-on-the-use-of-water-('!Z135</f>
        <v>2</v>
      </c>
      <c r="C15" s="3">
        <f>'Estimates-on-the-use-of-water-('!AA15</f>
        <v>1</v>
      </c>
    </row>
    <row r="16">
      <c r="A16" s="2">
        <f>'Estimates-on-the-use-of-water-('!Y203</f>
        <v>22</v>
      </c>
      <c r="B16" s="2">
        <f>'Estimates-on-the-use-of-water-('!Z16</f>
        <v>3</v>
      </c>
      <c r="C16" s="2">
        <f>'Estimates-on-the-use-of-water-('!AA16</f>
        <v>1</v>
      </c>
    </row>
    <row r="17">
      <c r="A17" s="3">
        <f>'Estimates-on-the-use-of-water-('!Y29</f>
        <v>24</v>
      </c>
      <c r="B17" s="3">
        <f>'Estimates-on-the-use-of-water-('!Z28</f>
        <v>5</v>
      </c>
      <c r="C17" s="3">
        <f>'Estimates-on-the-use-of-water-('!AA17</f>
        <v>1</v>
      </c>
    </row>
    <row r="18">
      <c r="A18" s="2">
        <f>'Estimates-on-the-use-of-water-('!Y144</f>
        <v>24</v>
      </c>
      <c r="B18" s="2">
        <f>'Estimates-on-the-use-of-water-('!Z83</f>
        <v>5</v>
      </c>
      <c r="C18" s="2">
        <f>'Estimates-on-the-use-of-water-('!AA18</f>
        <v>1</v>
      </c>
    </row>
    <row r="19">
      <c r="A19" s="3">
        <f>'Estimates-on-the-use-of-water-('!Y53</f>
        <v>25</v>
      </c>
      <c r="B19" s="3">
        <f>'Estimates-on-the-use-of-water-('!Z31</f>
        <v>6</v>
      </c>
      <c r="C19" s="3">
        <f>'Estimates-on-the-use-of-water-('!AA19</f>
        <v>1</v>
      </c>
    </row>
    <row r="20">
      <c r="A20" s="2">
        <f>'Estimates-on-the-use-of-water-('!Y59</f>
        <v>25</v>
      </c>
      <c r="B20" s="2">
        <f>'Estimates-on-the-use-of-water-('!Z46</f>
        <v>6</v>
      </c>
      <c r="C20" s="2">
        <f>'Estimates-on-the-use-of-water-('!AA20</f>
        <v>1</v>
      </c>
    </row>
    <row r="21">
      <c r="A21" s="3">
        <f>'Estimates-on-the-use-of-water-('!Y145</f>
        <v>25</v>
      </c>
      <c r="B21" s="3">
        <f>'Estimates-on-the-use-of-water-('!Z41</f>
        <v>7</v>
      </c>
      <c r="C21" s="3">
        <f>'Estimates-on-the-use-of-water-('!AA21</f>
        <v>1</v>
      </c>
    </row>
    <row r="22">
      <c r="A22" s="2">
        <f>'Estimates-on-the-use-of-water-('!Y184</f>
        <v>25</v>
      </c>
      <c r="B22" s="2">
        <f>'Estimates-on-the-use-of-water-('!Z76</f>
        <v>7</v>
      </c>
      <c r="C22" s="2">
        <f>'Estimates-on-the-use-of-water-('!AA22</f>
        <v>1</v>
      </c>
    </row>
    <row r="23">
      <c r="A23" s="3">
        <f>'Estimates-on-the-use-of-water-('!Y40</f>
        <v>26</v>
      </c>
      <c r="B23" s="3">
        <f>'Estimates-on-the-use-of-water-('!Z116</f>
        <v>8</v>
      </c>
      <c r="C23" s="3">
        <f>'Estimates-on-the-use-of-water-('!AA23</f>
        <v>1</v>
      </c>
    </row>
    <row r="24">
      <c r="A24" s="2">
        <f>'Estimates-on-the-use-of-water-('!Y55</f>
        <v>27</v>
      </c>
      <c r="B24" s="2">
        <f>'Estimates-on-the-use-of-water-('!Z147</f>
        <v>8</v>
      </c>
      <c r="C24" s="2">
        <f>'Estimates-on-the-use-of-water-('!AA24</f>
        <v>1</v>
      </c>
    </row>
    <row r="25">
      <c r="A25" s="3">
        <f>'Estimates-on-the-use-of-water-('!Y178</f>
        <v>27</v>
      </c>
      <c r="B25" s="3">
        <f>'Estimates-on-the-use-of-water-('!Z183</f>
        <v>8</v>
      </c>
      <c r="C25" s="3">
        <f>'Estimates-on-the-use-of-water-('!AA25</f>
        <v>1</v>
      </c>
    </row>
    <row r="26">
      <c r="A26" s="2">
        <f>'Estimates-on-the-use-of-water-('!Y121</f>
        <v>28</v>
      </c>
      <c r="B26" s="2">
        <f>'Estimates-on-the-use-of-water-('!Z23</f>
        <v>9</v>
      </c>
      <c r="C26" s="2">
        <f>'Estimates-on-the-use-of-water-('!AA26</f>
        <v>1</v>
      </c>
    </row>
    <row r="27">
      <c r="A27" s="3">
        <f>'Estimates-on-the-use-of-water-('!Y188</f>
        <v>28</v>
      </c>
      <c r="B27" s="3">
        <f>'Estimates-on-the-use-of-water-('!Z50</f>
        <v>9</v>
      </c>
      <c r="C27" s="3">
        <f>'Estimates-on-the-use-of-water-('!AA27</f>
        <v>1</v>
      </c>
    </row>
    <row r="28">
      <c r="A28" s="2">
        <f>'Estimates-on-the-use-of-water-('!Y70</f>
        <v>30</v>
      </c>
      <c r="B28" s="2">
        <f>'Estimates-on-the-use-of-water-('!Z128</f>
        <v>9</v>
      </c>
      <c r="C28" s="2">
        <f>'Estimates-on-the-use-of-water-('!AA28</f>
        <v>1</v>
      </c>
    </row>
    <row r="29">
      <c r="A29" s="3">
        <f>'Estimates-on-the-use-of-water-('!Y157</f>
        <v>31</v>
      </c>
      <c r="B29" s="3">
        <f>'Estimates-on-the-use-of-water-('!Z204</f>
        <v>9</v>
      </c>
      <c r="C29" s="3">
        <f>'Estimates-on-the-use-of-water-('!AA29</f>
        <v>1</v>
      </c>
    </row>
    <row r="30">
      <c r="A30" s="2">
        <f>'Estimates-on-the-use-of-water-('!Y38</f>
        <v>32</v>
      </c>
      <c r="B30" s="2">
        <f>'Estimates-on-the-use-of-water-('!Z71</f>
        <v>10</v>
      </c>
      <c r="C30" s="2">
        <f>'Estimates-on-the-use-of-water-('!AA30</f>
        <v>1</v>
      </c>
    </row>
    <row r="31">
      <c r="A31" s="3">
        <f>'Estimates-on-the-use-of-water-('!Y62</f>
        <v>32</v>
      </c>
      <c r="B31" s="3">
        <f>'Estimates-on-the-use-of-water-('!Z6</f>
        <v>11</v>
      </c>
      <c r="C31" s="3">
        <f>'Estimates-on-the-use-of-water-('!AA31</f>
        <v>1</v>
      </c>
    </row>
    <row r="32">
      <c r="A32" s="2">
        <f>'Estimates-on-the-use-of-water-('!Y189</f>
        <v>32</v>
      </c>
      <c r="B32" s="2">
        <f>'Estimates-on-the-use-of-water-('!Z42</f>
        <v>11</v>
      </c>
      <c r="C32" s="2">
        <f>'Estimates-on-the-use-of-water-('!AA32</f>
        <v>1</v>
      </c>
    </row>
    <row r="33">
      <c r="A33" s="3">
        <f>'Estimates-on-the-use-of-water-('!Y142</f>
        <v>33</v>
      </c>
      <c r="B33" s="3">
        <f>'Estimates-on-the-use-of-water-('!Z65</f>
        <v>11</v>
      </c>
      <c r="C33" s="3">
        <f>'Estimates-on-the-use-of-water-('!AA33</f>
        <v>1</v>
      </c>
    </row>
    <row r="34">
      <c r="A34" s="2">
        <f>'Estimates-on-the-use-of-water-('!Y213</f>
        <v>35</v>
      </c>
      <c r="B34" s="2">
        <f>'Estimates-on-the-use-of-water-('!Z101</f>
        <v>12</v>
      </c>
      <c r="C34" s="2">
        <f>'Estimates-on-the-use-of-water-('!AA34</f>
        <v>1</v>
      </c>
    </row>
    <row r="35">
      <c r="A35" s="3">
        <f>'Estimates-on-the-use-of-water-('!Y181</f>
        <v>36</v>
      </c>
      <c r="B35" s="3">
        <f>'Estimates-on-the-use-of-water-('!Z107</f>
        <v>12</v>
      </c>
      <c r="C35" s="3">
        <f>'Estimates-on-the-use-of-water-('!AA35</f>
        <v>1</v>
      </c>
    </row>
    <row r="36">
      <c r="A36" s="2">
        <f>'Estimates-on-the-use-of-water-('!Y191</f>
        <v>36</v>
      </c>
      <c r="B36" s="2">
        <f>'Estimates-on-the-use-of-water-('!Z165</f>
        <v>12</v>
      </c>
      <c r="C36" s="2">
        <f>'Estimates-on-the-use-of-water-('!AA36</f>
        <v>1</v>
      </c>
    </row>
    <row r="37">
      <c r="A37" s="3">
        <f>'Estimates-on-the-use-of-water-('!Y105</f>
        <v>37</v>
      </c>
      <c r="B37" s="3">
        <f>'Estimates-on-the-use-of-water-('!Z21</f>
        <v>13</v>
      </c>
      <c r="C37" s="3">
        <f>'Estimates-on-the-use-of-water-('!AA37</f>
        <v>1</v>
      </c>
    </row>
    <row r="38">
      <c r="A38" s="2">
        <f>'Estimates-on-the-use-of-water-('!Y111</f>
        <v>37</v>
      </c>
      <c r="B38" s="2">
        <f>'Estimates-on-the-use-of-water-('!Z22</f>
        <v>13</v>
      </c>
      <c r="C38" s="2">
        <f>'Estimates-on-the-use-of-water-('!AA38</f>
        <v>1</v>
      </c>
    </row>
    <row r="39">
      <c r="A39" s="3">
        <f>'Estimates-on-the-use-of-water-('!Y141</f>
        <v>37</v>
      </c>
      <c r="B39" s="3">
        <f>'Estimates-on-the-use-of-water-('!Z26</f>
        <v>13</v>
      </c>
      <c r="C39" s="3">
        <f>'Estimates-on-the-use-of-water-('!AA39</f>
        <v>1</v>
      </c>
    </row>
    <row r="40">
      <c r="A40" s="2">
        <f>'Estimates-on-the-use-of-water-('!Y167</f>
        <v>38</v>
      </c>
      <c r="B40" s="2">
        <f>'Estimates-on-the-use-of-water-('!Z123</f>
        <v>13</v>
      </c>
      <c r="C40" s="2">
        <f>'Estimates-on-the-use-of-water-('!AA40</f>
        <v>1</v>
      </c>
    </row>
    <row r="41">
      <c r="A41" s="3">
        <f>'Estimates-on-the-use-of-water-('!Y169</f>
        <v>38</v>
      </c>
      <c r="B41" s="3">
        <f>'Estimates-on-the-use-of-water-('!Z125</f>
        <v>13</v>
      </c>
      <c r="C41" s="3">
        <f>'Estimates-on-the-use-of-water-('!AA41</f>
        <v>1</v>
      </c>
    </row>
    <row r="42">
      <c r="A42" s="2">
        <f>'Estimates-on-the-use-of-water-('!Y200</f>
        <v>38</v>
      </c>
      <c r="B42" s="2">
        <f>'Estimates-on-the-use-of-water-('!Z153</f>
        <v>13</v>
      </c>
      <c r="C42" s="2">
        <f>'Estimates-on-the-use-of-water-('!AA42</f>
        <v>1</v>
      </c>
    </row>
    <row r="43">
      <c r="A43" s="3">
        <f>'Estimates-on-the-use-of-water-('!Y210</f>
        <v>38</v>
      </c>
      <c r="B43" s="3">
        <f>'Estimates-on-the-use-of-water-('!Z209</f>
        <v>13</v>
      </c>
      <c r="C43" s="3">
        <f>'Estimates-on-the-use-of-water-('!AA43</f>
        <v>1</v>
      </c>
    </row>
    <row r="44">
      <c r="A44" s="2">
        <f>'Estimates-on-the-use-of-water-('!Y164</f>
        <v>39</v>
      </c>
      <c r="B44" s="2">
        <f>'Estimates-on-the-use-of-water-('!Z90</f>
        <v>14</v>
      </c>
      <c r="C44" s="2">
        <f>'Estimates-on-the-use-of-water-('!AA44</f>
        <v>1</v>
      </c>
    </row>
    <row r="45">
      <c r="A45" s="3">
        <f>'Estimates-on-the-use-of-water-('!Y207</f>
        <v>39</v>
      </c>
      <c r="B45" s="3">
        <f>'Estimates-on-the-use-of-water-('!Z96</f>
        <v>14</v>
      </c>
      <c r="C45" s="3">
        <f>'Estimates-on-the-use-of-water-('!AA45</f>
        <v>1</v>
      </c>
    </row>
    <row r="46">
      <c r="A46" s="2">
        <f>'Estimates-on-the-use-of-water-('!Y7</f>
        <v>41</v>
      </c>
      <c r="B46" s="2">
        <f>'Estimates-on-the-use-of-water-('!Z160</f>
        <v>14</v>
      </c>
      <c r="C46" s="2">
        <f>'Estimates-on-the-use-of-water-('!AA46</f>
        <v>1</v>
      </c>
    </row>
    <row r="47">
      <c r="A47" s="3">
        <f>'Estimates-on-the-use-of-water-('!Y47</f>
        <v>41</v>
      </c>
      <c r="B47" s="3">
        <f>'Estimates-on-the-use-of-water-('!Z39</f>
        <v>15</v>
      </c>
      <c r="C47" s="3">
        <f>'Estimates-on-the-use-of-water-('!AA47</f>
        <v>1</v>
      </c>
    </row>
    <row r="48">
      <c r="A48" s="2">
        <f>'Estimates-on-the-use-of-water-('!Y61</f>
        <v>41</v>
      </c>
      <c r="B48" s="2">
        <f>'Estimates-on-the-use-of-water-('!Z100</f>
        <v>15</v>
      </c>
      <c r="C48" s="2">
        <f>'Estimates-on-the-use-of-water-('!AA48</f>
        <v>1</v>
      </c>
    </row>
    <row r="49">
      <c r="A49" s="3">
        <f>'Estimates-on-the-use-of-water-('!Y20</f>
        <v>43</v>
      </c>
      <c r="B49" s="3">
        <f>'Estimates-on-the-use-of-water-('!Z174</f>
        <v>16</v>
      </c>
      <c r="C49" s="3">
        <f>'Estimates-on-the-use-of-water-('!AA49</f>
        <v>1</v>
      </c>
    </row>
    <row r="50">
      <c r="A50" s="2">
        <f>'Estimates-on-the-use-of-water-('!Y54</f>
        <v>43</v>
      </c>
      <c r="B50" s="2">
        <f>'Estimates-on-the-use-of-water-('!Z194</f>
        <v>17</v>
      </c>
      <c r="C50" s="2">
        <f>'Estimates-on-the-use-of-water-('!AA50</f>
        <v>1</v>
      </c>
    </row>
    <row r="51">
      <c r="A51" s="3">
        <f>'Estimates-on-the-use-of-water-('!Y85</f>
        <v>43</v>
      </c>
      <c r="B51" s="3">
        <f>'Estimates-on-the-use-of-water-('!Z97</f>
        <v>18</v>
      </c>
      <c r="C51" s="3">
        <f>'Estimates-on-the-use-of-water-('!AA51</f>
        <v>1</v>
      </c>
    </row>
    <row r="52">
      <c r="A52" s="2">
        <f>'Estimates-on-the-use-of-water-('!Y91</f>
        <v>43</v>
      </c>
      <c r="B52" s="2">
        <f>'Estimates-on-the-use-of-water-('!Z131</f>
        <v>18</v>
      </c>
      <c r="C52" s="2">
        <f>'Estimates-on-the-use-of-water-('!AA52</f>
        <v>1</v>
      </c>
    </row>
    <row r="53">
      <c r="A53" s="3">
        <f>'Estimates-on-the-use-of-water-('!Y113</f>
        <v>43</v>
      </c>
      <c r="B53" s="3">
        <f>'Estimates-on-the-use-of-water-('!Z212</f>
        <v>18</v>
      </c>
      <c r="C53" s="3">
        <f>'Estimates-on-the-use-of-water-('!AA53</f>
        <v>1</v>
      </c>
    </row>
    <row r="54">
      <c r="A54" s="2">
        <f>'Estimates-on-the-use-of-water-('!Y114</f>
        <v>43</v>
      </c>
      <c r="B54" s="2">
        <f>'Estimates-on-the-use-of-water-('!Z176</f>
        <v>19</v>
      </c>
      <c r="C54" s="2">
        <f>'Estimates-on-the-use-of-water-('!AA54</f>
        <v>1</v>
      </c>
    </row>
    <row r="55">
      <c r="A55" s="3">
        <f>'Estimates-on-the-use-of-water-('!Y201</f>
        <v>43</v>
      </c>
      <c r="B55" s="3">
        <f>'Estimates-on-the-use-of-water-('!Z186</f>
        <v>19</v>
      </c>
      <c r="C55" s="3">
        <f>'Estimates-on-the-use-of-water-('!AA55</f>
        <v>1</v>
      </c>
    </row>
    <row r="56">
      <c r="A56" s="2">
        <f>'Estimates-on-the-use-of-water-('!Y156</f>
        <v>44</v>
      </c>
      <c r="B56" s="2">
        <f>'Estimates-on-the-use-of-water-('!Z187</f>
        <v>19</v>
      </c>
      <c r="C56" s="2">
        <f>'Estimates-on-the-use-of-water-('!AA56</f>
        <v>1</v>
      </c>
    </row>
    <row r="57">
      <c r="A57" s="3">
        <f>'Estimates-on-the-use-of-water-('!Y67</f>
        <v>45</v>
      </c>
      <c r="B57" s="3">
        <f>'Estimates-on-the-use-of-water-('!Z13</f>
        <v>20</v>
      </c>
      <c r="C57" s="3">
        <f>'Estimates-on-the-use-of-water-('!AA57</f>
        <v>1</v>
      </c>
    </row>
    <row r="58">
      <c r="A58" s="2">
        <f>'Estimates-on-the-use-of-water-('!Y151</f>
        <v>45</v>
      </c>
      <c r="B58" s="2">
        <f>'Estimates-on-the-use-of-water-('!Z94</f>
        <v>20</v>
      </c>
      <c r="C58" s="2">
        <f>'Estimates-on-the-use-of-water-('!AA58</f>
        <v>1</v>
      </c>
    </row>
    <row r="59">
      <c r="A59" s="3">
        <f>'Estimates-on-the-use-of-water-('!Y35</f>
        <v>46</v>
      </c>
      <c r="B59" s="3">
        <f>'Estimates-on-the-use-of-water-('!Z108</f>
        <v>20</v>
      </c>
      <c r="C59" s="3">
        <f>'Estimates-on-the-use-of-water-('!AA59</f>
        <v>2</v>
      </c>
    </row>
    <row r="60">
      <c r="A60" s="2">
        <f>'Estimates-on-the-use-of-water-('!Y199</f>
        <v>46</v>
      </c>
      <c r="B60" s="2">
        <f>'Estimates-on-the-use-of-water-('!Z185</f>
        <v>20</v>
      </c>
      <c r="C60" s="2">
        <f>'Estimates-on-the-use-of-water-('!AA60</f>
        <v>2</v>
      </c>
    </row>
    <row r="61">
      <c r="A61" s="3">
        <f>'Estimates-on-the-use-of-water-('!Y3</f>
        <v>47</v>
      </c>
      <c r="B61" s="3">
        <f>'Estimates-on-the-use-of-water-('!Z193</f>
        <v>20</v>
      </c>
      <c r="C61" s="3">
        <f>'Estimates-on-the-use-of-water-('!AA61</f>
        <v>2</v>
      </c>
    </row>
    <row r="62">
      <c r="A62" s="2">
        <f>'Estimates-on-the-use-of-water-('!Y43</f>
        <v>47</v>
      </c>
      <c r="B62" s="2">
        <f>'Estimates-on-the-use-of-water-('!Z205</f>
        <v>20</v>
      </c>
      <c r="C62" s="2">
        <f>'Estimates-on-the-use-of-water-('!AA62</f>
        <v>2</v>
      </c>
    </row>
    <row r="63">
      <c r="A63" s="3">
        <f>'Estimates-on-the-use-of-water-('!Y143</f>
        <v>47</v>
      </c>
      <c r="B63" s="3">
        <f>'Estimates-on-the-use-of-water-('!Z120</f>
        <v>21</v>
      </c>
      <c r="C63" s="3">
        <f>'Estimates-on-the-use-of-water-('!AA63</f>
        <v>2</v>
      </c>
    </row>
    <row r="64">
      <c r="A64" s="2">
        <f>'Estimates-on-the-use-of-water-('!Y202</f>
        <v>48</v>
      </c>
      <c r="B64" s="2">
        <f>'Estimates-on-the-use-of-water-('!Z129</f>
        <v>21</v>
      </c>
      <c r="C64" s="2">
        <f>'Estimates-on-the-use-of-water-('!AA64</f>
        <v>2</v>
      </c>
    </row>
    <row r="65">
      <c r="A65" s="3">
        <f>'Estimates-on-the-use-of-water-('!Y14</f>
        <v>49</v>
      </c>
      <c r="B65" s="3">
        <f>'Estimates-on-the-use-of-water-('!Z4</f>
        <v>22</v>
      </c>
      <c r="C65" s="3">
        <f>'Estimates-on-the-use-of-water-('!AA65</f>
        <v>2</v>
      </c>
    </row>
    <row r="66">
      <c r="A66" s="2">
        <f>'Estimates-on-the-use-of-water-('!Y139</f>
        <v>49</v>
      </c>
      <c r="B66" s="2">
        <f>'Estimates-on-the-use-of-water-('!Z45</f>
        <v>22</v>
      </c>
      <c r="C66" s="2">
        <f>'Estimates-on-the-use-of-water-('!AA66</f>
        <v>2</v>
      </c>
    </row>
    <row r="67">
      <c r="A67" s="3">
        <f>'Estimates-on-the-use-of-water-('!Y146</f>
        <v>49</v>
      </c>
      <c r="B67" s="3">
        <f>'Estimates-on-the-use-of-water-('!Z58</f>
        <v>22</v>
      </c>
      <c r="C67" s="3">
        <f>'Estimates-on-the-use-of-water-('!AA67</f>
        <v>2</v>
      </c>
    </row>
    <row r="68">
      <c r="A68" s="2">
        <f>'Estimates-on-the-use-of-water-('!Y82</f>
        <v>50</v>
      </c>
      <c r="B68" s="2">
        <f>'Estimates-on-the-use-of-water-('!Z172</f>
        <v>22</v>
      </c>
      <c r="C68" s="2">
        <f>'Estimates-on-the-use-of-water-('!AA68</f>
        <v>3</v>
      </c>
    </row>
    <row r="69">
      <c r="A69" s="3">
        <f>'Estimates-on-the-use-of-water-('!Y173</f>
        <v>51</v>
      </c>
      <c r="B69" s="3">
        <f>'Estimates-on-the-use-of-water-('!Z24</f>
        <v>23</v>
      </c>
      <c r="C69" s="3">
        <f>'Estimates-on-the-use-of-water-('!AA69</f>
        <v>3</v>
      </c>
    </row>
    <row r="70">
      <c r="A70" s="2">
        <f>'Estimates-on-the-use-of-water-('!Y150</f>
        <v>52</v>
      </c>
      <c r="B70" s="2">
        <f>'Estimates-on-the-use-of-water-('!Z133</f>
        <v>23</v>
      </c>
      <c r="C70" s="2">
        <f>'Estimates-on-the-use-of-water-('!AA70</f>
        <v>3</v>
      </c>
    </row>
    <row r="71">
      <c r="A71" s="3">
        <f>'Estimates-on-the-use-of-water-('!Y162</f>
        <v>52</v>
      </c>
      <c r="B71" s="3">
        <f>'Estimates-on-the-use-of-water-('!Z170</f>
        <v>23</v>
      </c>
      <c r="C71" s="3">
        <f>'Estimates-on-the-use-of-water-('!AA71</f>
        <v>3</v>
      </c>
    </row>
    <row r="72">
      <c r="A72" s="2">
        <f>'Estimates-on-the-use-of-water-('!Y195</f>
        <v>52</v>
      </c>
      <c r="B72" s="2">
        <f>'Estimates-on-the-use-of-water-('!Z196</f>
        <v>23</v>
      </c>
      <c r="C72" s="2">
        <f>'Estimates-on-the-use-of-water-('!AA72</f>
        <v>3</v>
      </c>
    </row>
    <row r="73">
      <c r="A73" s="3">
        <f>'Estimates-on-the-use-of-water-('!Y208</f>
        <v>52</v>
      </c>
      <c r="B73" s="3">
        <f>'Estimates-on-the-use-of-water-('!Z95</f>
        <v>24</v>
      </c>
      <c r="C73" s="3">
        <f>'Estimates-on-the-use-of-water-('!AA73</f>
        <v>3</v>
      </c>
    </row>
    <row r="74">
      <c r="A74" s="2">
        <f>'Estimates-on-the-use-of-water-('!Y27</f>
        <v>53</v>
      </c>
      <c r="B74" s="2">
        <f>'Estimates-on-the-use-of-water-('!Z198</f>
        <v>24</v>
      </c>
      <c r="C74" s="2">
        <f>'Estimates-on-the-use-of-water-('!AA74</f>
        <v>3</v>
      </c>
    </row>
    <row r="75">
      <c r="A75" s="3">
        <f>'Estimates-on-the-use-of-water-('!Y74</f>
        <v>53</v>
      </c>
      <c r="B75" s="3">
        <f>'Estimates-on-the-use-of-water-('!Z12</f>
        <v>25</v>
      </c>
      <c r="C75" s="3">
        <f>'Estimates-on-the-use-of-water-('!AA75</f>
        <v>3</v>
      </c>
    </row>
    <row r="76">
      <c r="A76" s="2">
        <f>'Estimates-on-the-use-of-water-('!Y93</f>
        <v>53</v>
      </c>
      <c r="B76" s="2">
        <f>'Estimates-on-the-use-of-water-('!Z109</f>
        <v>25</v>
      </c>
      <c r="C76" s="2">
        <f>'Estimates-on-the-use-of-water-('!AA76</f>
        <v>3</v>
      </c>
    </row>
    <row r="77">
      <c r="A77" s="3">
        <f>'Estimates-on-the-use-of-water-('!Y103</f>
        <v>53</v>
      </c>
      <c r="B77" s="3">
        <f>'Estimates-on-the-use-of-water-('!Z197</f>
        <v>25</v>
      </c>
      <c r="C77" s="3">
        <f>'Estimates-on-the-use-of-water-('!AA77</f>
        <v>3</v>
      </c>
    </row>
    <row r="78">
      <c r="A78" s="2">
        <f>'Estimates-on-the-use-of-water-('!Y64</f>
        <v>54</v>
      </c>
      <c r="B78" s="2">
        <f>'Estimates-on-the-use-of-water-('!Z34</f>
        <v>26</v>
      </c>
      <c r="C78" s="2">
        <f>'Estimates-on-the-use-of-water-('!AA78</f>
        <v>3</v>
      </c>
    </row>
    <row r="79">
      <c r="A79" s="3">
        <f>'Estimates-on-the-use-of-water-('!Y98</f>
        <v>54</v>
      </c>
      <c r="B79" s="3">
        <f>'Estimates-on-the-use-of-water-('!Z130</f>
        <v>26</v>
      </c>
      <c r="C79" s="3">
        <f>'Estimates-on-the-use-of-water-('!AA79</f>
        <v>3</v>
      </c>
    </row>
    <row r="80">
      <c r="A80" s="2">
        <f>'Estimates-on-the-use-of-water-('!Y155</f>
        <v>55</v>
      </c>
      <c r="B80" s="2">
        <f>'Estimates-on-the-use-of-water-('!Z206</f>
        <v>26</v>
      </c>
      <c r="C80" s="2">
        <f>'Estimates-on-the-use-of-water-('!AA80</f>
        <v>3</v>
      </c>
    </row>
    <row r="81">
      <c r="A81" s="3">
        <f>'Estimates-on-the-use-of-water-('!Y30</f>
        <v>56</v>
      </c>
      <c r="B81" s="3">
        <f>'Estimates-on-the-use-of-water-('!Z104</f>
        <v>27</v>
      </c>
      <c r="C81" s="3">
        <f>'Estimates-on-the-use-of-water-('!AA81</f>
        <v>4</v>
      </c>
    </row>
    <row r="82">
      <c r="A82" s="2">
        <f>'Estimates-on-the-use-of-water-('!Y68</f>
        <v>56</v>
      </c>
      <c r="B82" s="2">
        <f>'Estimates-on-the-use-of-water-('!Z115</f>
        <v>27</v>
      </c>
      <c r="C82" s="2">
        <f>'Estimates-on-the-use-of-water-('!AA82</f>
        <v>4</v>
      </c>
    </row>
    <row r="83">
      <c r="A83" s="3">
        <f>'Estimates-on-the-use-of-water-('!Y89</f>
        <v>56</v>
      </c>
      <c r="B83" s="3">
        <f>'Estimates-on-the-use-of-water-('!Z182</f>
        <v>27</v>
      </c>
      <c r="C83" s="3">
        <f>'Estimates-on-the-use-of-water-('!AA83</f>
        <v>4</v>
      </c>
    </row>
    <row r="84">
      <c r="A84" s="2">
        <f>'Estimates-on-the-use-of-water-('!Y148</f>
        <v>56</v>
      </c>
      <c r="B84" s="2">
        <f>'Estimates-on-the-use-of-water-('!Z37</f>
        <v>29</v>
      </c>
      <c r="C84" s="2">
        <f>'Estimates-on-the-use-of-water-('!AA84</f>
        <v>4</v>
      </c>
    </row>
    <row r="85">
      <c r="A85" s="3">
        <f>'Estimates-on-the-use-of-water-('!Y79</f>
        <v>57</v>
      </c>
      <c r="B85" s="3">
        <f>'Estimates-on-the-use-of-water-('!Z122</f>
        <v>29</v>
      </c>
      <c r="C85" s="3">
        <f>'Estimates-on-the-use-of-water-('!AA85</f>
        <v>5</v>
      </c>
    </row>
    <row r="86">
      <c r="A86" s="2">
        <f>'Estimates-on-the-use-of-water-('!Y117</f>
        <v>57</v>
      </c>
      <c r="B86" s="2">
        <f>'Estimates-on-the-use-of-water-('!Z192</f>
        <v>29</v>
      </c>
      <c r="C86" s="2">
        <f>'Estimates-on-the-use-of-water-('!AA86</f>
        <v>5</v>
      </c>
    </row>
    <row r="87">
      <c r="A87" s="3">
        <f>'Estimates-on-the-use-of-water-('!Y126</f>
        <v>57</v>
      </c>
      <c r="B87" s="3">
        <f>'Estimates-on-the-use-of-water-('!Z72</f>
        <v>30</v>
      </c>
      <c r="C87" s="3">
        <f>'Estimates-on-the-use-of-water-('!AA87</f>
        <v>5</v>
      </c>
    </row>
    <row r="88">
      <c r="A88" s="2">
        <f>'Estimates-on-the-use-of-water-('!Y211</f>
        <v>57</v>
      </c>
      <c r="B88" s="2">
        <f>'Estimates-on-the-use-of-water-('!Z136</f>
        <v>30</v>
      </c>
      <c r="C88" s="2">
        <f>'Estimates-on-the-use-of-water-('!AA88</f>
        <v>5</v>
      </c>
    </row>
    <row r="89">
      <c r="A89" s="3">
        <f>'Estimates-on-the-use-of-water-('!Y57</f>
        <v>58</v>
      </c>
      <c r="B89" s="3">
        <f>'Estimates-on-the-use-of-water-('!Z179</f>
        <v>30</v>
      </c>
      <c r="C89" s="3">
        <f>'Estimates-on-the-use-of-water-('!AA89</f>
        <v>5</v>
      </c>
    </row>
    <row r="90">
      <c r="A90" s="2">
        <f>'Estimates-on-the-use-of-water-('!Y86</f>
        <v>58</v>
      </c>
      <c r="B90" s="2">
        <f>'Estimates-on-the-use-of-water-('!Z63</f>
        <v>31</v>
      </c>
      <c r="C90" s="2">
        <f>'Estimates-on-the-use-of-water-('!AA90</f>
        <v>5</v>
      </c>
    </row>
    <row r="91">
      <c r="A91" s="3">
        <f>'Estimates-on-the-use-of-water-('!Y134</f>
        <v>58</v>
      </c>
      <c r="B91" s="3">
        <f>'Estimates-on-the-use-of-water-('!Z137</f>
        <v>31</v>
      </c>
      <c r="C91" s="3">
        <f>'Estimates-on-the-use-of-water-('!AA91</f>
        <v>5</v>
      </c>
    </row>
    <row r="92">
      <c r="A92" s="2">
        <f>'Estimates-on-the-use-of-water-('!Y152</f>
        <v>58</v>
      </c>
      <c r="B92" s="2">
        <f>'Estimates-on-the-use-of-water-('!Z180</f>
        <v>31</v>
      </c>
      <c r="C92" s="2">
        <f>'Estimates-on-the-use-of-water-('!AA92</f>
        <v>5</v>
      </c>
    </row>
    <row r="93">
      <c r="A93" s="3">
        <f>'Estimates-on-the-use-of-water-('!Y163</f>
        <v>58</v>
      </c>
      <c r="B93" s="3">
        <f>'Estimates-on-the-use-of-water-('!Z66</f>
        <v>32</v>
      </c>
      <c r="C93" s="3">
        <f>'Estimates-on-the-use-of-water-('!AA93</f>
        <v>6</v>
      </c>
    </row>
    <row r="94">
      <c r="A94" s="2">
        <f>'Estimates-on-the-use-of-water-('!Y168</f>
        <v>58</v>
      </c>
      <c r="B94" s="2">
        <f>'Estimates-on-the-use-of-water-('!Z75</f>
        <v>32</v>
      </c>
      <c r="C94" s="2">
        <f>'Estimates-on-the-use-of-water-('!AA94</f>
        <v>6</v>
      </c>
    </row>
    <row r="95">
      <c r="A95" s="3">
        <f>'Estimates-on-the-use-of-water-('!Y69</f>
        <v>59</v>
      </c>
      <c r="B95" s="3">
        <f>'Estimates-on-the-use-of-water-('!Z81</f>
        <v>32</v>
      </c>
      <c r="C95" s="3">
        <f>'Estimates-on-the-use-of-water-('!AA95</f>
        <v>6</v>
      </c>
    </row>
    <row r="96">
      <c r="A96" s="2">
        <f>'Estimates-on-the-use-of-water-('!Y119</f>
        <v>59</v>
      </c>
      <c r="B96" s="2">
        <f>'Estimates-on-the-use-of-water-('!Z88</f>
        <v>32</v>
      </c>
      <c r="C96" s="2">
        <f>'Estimates-on-the-use-of-water-('!AA96</f>
        <v>6</v>
      </c>
    </row>
    <row r="97">
      <c r="A97" s="3">
        <f>'Estimates-on-the-use-of-water-('!Y124</f>
        <v>59</v>
      </c>
      <c r="B97" s="3">
        <f>'Estimates-on-the-use-of-water-('!Z51</f>
        <v>33</v>
      </c>
      <c r="C97" s="3">
        <f>'Estimates-on-the-use-of-water-('!AA97</f>
        <v>6</v>
      </c>
    </row>
    <row r="98">
      <c r="A98" s="2">
        <f>'Estimates-on-the-use-of-water-('!Y84</f>
        <v>60</v>
      </c>
      <c r="B98" s="2">
        <f>'Estimates-on-the-use-of-water-('!Z99</f>
        <v>33</v>
      </c>
      <c r="C98" s="2">
        <f>'Estimates-on-the-use-of-water-('!AA98</f>
        <v>6</v>
      </c>
    </row>
    <row r="99">
      <c r="A99" s="3">
        <f>'Estimates-on-the-use-of-water-('!Y106</f>
        <v>60</v>
      </c>
      <c r="B99" s="3">
        <f>'Estimates-on-the-use-of-water-('!Z190</f>
        <v>33</v>
      </c>
      <c r="C99" s="3">
        <f>'Estimates-on-the-use-of-water-('!AA99</f>
        <v>6</v>
      </c>
    </row>
    <row r="100">
      <c r="A100" s="2">
        <f>'Estimates-on-the-use-of-water-('!Y177</f>
        <v>61</v>
      </c>
      <c r="B100" s="2">
        <f>'Estimates-on-the-use-of-water-('!Z48</f>
        <v>34</v>
      </c>
      <c r="C100" s="2">
        <f>'Estimates-on-the-use-of-water-('!AA100</f>
        <v>6</v>
      </c>
    </row>
    <row r="101">
      <c r="A101" s="3">
        <f>'Estimates-on-the-use-of-water-('!Y36</f>
        <v>62</v>
      </c>
      <c r="B101" s="3">
        <f>'Estimates-on-the-use-of-water-('!Z49</f>
        <v>34</v>
      </c>
      <c r="C101" s="3">
        <f>'Estimates-on-the-use-of-water-('!AA101</f>
        <v>6</v>
      </c>
    </row>
    <row r="102">
      <c r="A102" s="2">
        <f>'Estimates-on-the-use-of-water-('!Y214</f>
        <v>62</v>
      </c>
      <c r="B102" s="2">
        <f>'Estimates-on-the-use-of-water-('!Z60</f>
        <v>34</v>
      </c>
      <c r="C102" s="2">
        <f>'Estimates-on-the-use-of-water-('!AA102</f>
        <v>6</v>
      </c>
    </row>
    <row r="103">
      <c r="A103" s="3">
        <f>'Estimates-on-the-use-of-water-('!Y73</f>
        <v>63</v>
      </c>
      <c r="B103" s="3">
        <f>'Estimates-on-the-use-of-water-('!Z127</f>
        <v>34</v>
      </c>
      <c r="C103" s="3">
        <f>'Estimates-on-the-use-of-water-('!AA103</f>
        <v>7</v>
      </c>
    </row>
    <row r="104">
      <c r="A104" s="2">
        <f>'Estimates-on-the-use-of-water-('!Y77</f>
        <v>63</v>
      </c>
      <c r="B104" s="2">
        <f>'Estimates-on-the-use-of-water-('!Z171</f>
        <v>34</v>
      </c>
      <c r="C104" s="2">
        <f>'Estimates-on-the-use-of-water-('!AA104</f>
        <v>7</v>
      </c>
    </row>
    <row r="105">
      <c r="A105" s="3">
        <f>'Estimates-on-the-use-of-water-('!Y110</f>
        <v>63</v>
      </c>
      <c r="B105" s="3">
        <f>'Estimates-on-the-use-of-water-('!Z11</f>
        <v>36</v>
      </c>
      <c r="C105" s="3">
        <f>'Estimates-on-the-use-of-water-('!AA105</f>
        <v>7</v>
      </c>
    </row>
    <row r="106">
      <c r="A106" s="2">
        <f>'Estimates-on-the-use-of-water-('!Y161</f>
        <v>63</v>
      </c>
      <c r="B106" s="2">
        <f>'Estimates-on-the-use-of-water-('!Z149</f>
        <v>36</v>
      </c>
      <c r="C106" s="2">
        <f>'Estimates-on-the-use-of-water-('!AA106</f>
        <v>7</v>
      </c>
    </row>
    <row r="107">
      <c r="A107" s="3">
        <f>'Estimates-on-the-use-of-water-('!Y80</f>
        <v>64</v>
      </c>
      <c r="B107" s="3">
        <f>'Estimates-on-the-use-of-water-('!Z80</f>
        <v>37</v>
      </c>
      <c r="C107" s="3">
        <f>'Estimates-on-the-use-of-water-('!AA107</f>
        <v>7</v>
      </c>
    </row>
    <row r="108">
      <c r="A108" s="2">
        <f>'Estimates-on-the-use-of-water-('!Y92</f>
        <v>64</v>
      </c>
      <c r="B108" s="2">
        <f>'Estimates-on-the-use-of-water-('!Z92</f>
        <v>37</v>
      </c>
      <c r="C108" s="2">
        <f>'Estimates-on-the-use-of-water-('!AA108</f>
        <v>7</v>
      </c>
    </row>
    <row r="109">
      <c r="A109" s="3">
        <f>'Estimates-on-the-use-of-water-('!Y175</f>
        <v>64</v>
      </c>
      <c r="B109" s="3">
        <f>'Estimates-on-the-use-of-water-('!Z175</f>
        <v>37</v>
      </c>
      <c r="C109" s="3">
        <f>'Estimates-on-the-use-of-water-('!AA109</f>
        <v>7</v>
      </c>
    </row>
    <row r="110">
      <c r="A110" s="2">
        <f>'Estimates-on-the-use-of-water-('!Y11</f>
        <v>65</v>
      </c>
      <c r="B110" s="2">
        <f>'Estimates-on-the-use-of-water-('!Z73</f>
        <v>38</v>
      </c>
      <c r="C110" s="2">
        <f>'Estimates-on-the-use-of-water-('!AA110</f>
        <v>8</v>
      </c>
    </row>
    <row r="111">
      <c r="A111" s="3">
        <f>'Estimates-on-the-use-of-water-('!Y149</f>
        <v>65</v>
      </c>
      <c r="B111" s="3">
        <f>'Estimates-on-the-use-of-water-('!Z77</f>
        <v>38</v>
      </c>
      <c r="C111" s="3">
        <f>'Estimates-on-the-use-of-water-('!AA111</f>
        <v>8</v>
      </c>
    </row>
    <row r="112">
      <c r="A112" s="2">
        <f>'Estimates-on-the-use-of-water-('!Y48</f>
        <v>67</v>
      </c>
      <c r="B112" s="2">
        <f>'Estimates-on-the-use-of-water-('!Z110</f>
        <v>38</v>
      </c>
      <c r="C112" s="2">
        <f>'Estimates-on-the-use-of-water-('!AA112</f>
        <v>8</v>
      </c>
    </row>
    <row r="113">
      <c r="A113" s="3">
        <f>'Estimates-on-the-use-of-water-('!Y49</f>
        <v>67</v>
      </c>
      <c r="B113" s="3">
        <f>'Estimates-on-the-use-of-water-('!Z161</f>
        <v>38</v>
      </c>
      <c r="C113" s="3">
        <f>'Estimates-on-the-use-of-water-('!AA113</f>
        <v>8</v>
      </c>
    </row>
    <row r="114">
      <c r="A114" s="2">
        <f>'Estimates-on-the-use-of-water-('!Y60</f>
        <v>67</v>
      </c>
      <c r="B114" s="2">
        <f>'Estimates-on-the-use-of-water-('!Z36</f>
        <v>39</v>
      </c>
      <c r="C114" s="2">
        <f>'Estimates-on-the-use-of-water-('!AA114</f>
        <v>9</v>
      </c>
    </row>
    <row r="115">
      <c r="A115" s="3">
        <f>'Estimates-on-the-use-of-water-('!Y127</f>
        <v>67</v>
      </c>
      <c r="B115" s="3">
        <f>'Estimates-on-the-use-of-water-('!Z214</f>
        <v>39</v>
      </c>
      <c r="C115" s="3">
        <f>'Estimates-on-the-use-of-water-('!AA115</f>
        <v>9</v>
      </c>
    </row>
    <row r="116">
      <c r="A116" s="2">
        <f>'Estimates-on-the-use-of-water-('!Y171</f>
        <v>67</v>
      </c>
      <c r="B116" s="2">
        <f>'Estimates-on-the-use-of-water-('!Z177</f>
        <v>40</v>
      </c>
      <c r="C116" s="2">
        <f>'Estimates-on-the-use-of-water-('!AA116</f>
        <v>9</v>
      </c>
    </row>
    <row r="117">
      <c r="A117" s="3">
        <f>'Estimates-on-the-use-of-water-('!Y51</f>
        <v>68</v>
      </c>
      <c r="B117" s="3">
        <f>'Estimates-on-the-use-of-water-('!Z84</f>
        <v>41</v>
      </c>
      <c r="C117" s="3">
        <f>'Estimates-on-the-use-of-water-('!AA117</f>
        <v>9</v>
      </c>
    </row>
    <row r="118">
      <c r="A118" s="2">
        <f>'Estimates-on-the-use-of-water-('!Y99</f>
        <v>68</v>
      </c>
      <c r="B118" s="2">
        <f>'Estimates-on-the-use-of-water-('!Z106</f>
        <v>41</v>
      </c>
      <c r="C118" s="2">
        <f>'Estimates-on-the-use-of-water-('!AA118</f>
        <v>9</v>
      </c>
    </row>
    <row r="119">
      <c r="A119" s="3">
        <f>'Estimates-on-the-use-of-water-('!Y190</f>
        <v>68</v>
      </c>
      <c r="B119" s="3">
        <f>'Estimates-on-the-use-of-water-('!Z69</f>
        <v>42</v>
      </c>
      <c r="C119" s="3">
        <f>'Estimates-on-the-use-of-water-('!AA119</f>
        <v>10</v>
      </c>
    </row>
    <row r="120">
      <c r="A120" s="2">
        <f>'Estimates-on-the-use-of-water-('!Y66</f>
        <v>69</v>
      </c>
      <c r="B120" s="2">
        <f>'Estimates-on-the-use-of-water-('!Z119</f>
        <v>42</v>
      </c>
      <c r="C120" s="2">
        <f>'Estimates-on-the-use-of-water-('!AA120</f>
        <v>10</v>
      </c>
    </row>
    <row r="121">
      <c r="A121" s="3">
        <f>'Estimates-on-the-use-of-water-('!Y75</f>
        <v>69</v>
      </c>
      <c r="B121" s="3">
        <f>'Estimates-on-the-use-of-water-('!Z124</f>
        <v>42</v>
      </c>
      <c r="C121" s="3">
        <f>'Estimates-on-the-use-of-water-('!AA121</f>
        <v>10</v>
      </c>
    </row>
    <row r="122">
      <c r="A122" s="2">
        <f>'Estimates-on-the-use-of-water-('!Y81</f>
        <v>69</v>
      </c>
      <c r="B122" s="2">
        <f>'Estimates-on-the-use-of-water-('!Z57</f>
        <v>43</v>
      </c>
      <c r="C122" s="2">
        <f>'Estimates-on-the-use-of-water-('!AA122</f>
        <v>10</v>
      </c>
    </row>
    <row r="123">
      <c r="A123" s="3">
        <f>'Estimates-on-the-use-of-water-('!Y88</f>
        <v>69</v>
      </c>
      <c r="B123" s="3">
        <f>'Estimates-on-the-use-of-water-('!Z86</f>
        <v>43</v>
      </c>
      <c r="C123" s="3">
        <f>'Estimates-on-the-use-of-water-('!AA123</f>
        <v>10</v>
      </c>
    </row>
    <row r="124">
      <c r="A124" s="2">
        <f>'Estimates-on-the-use-of-water-('!Y63</f>
        <v>70</v>
      </c>
      <c r="B124" s="2">
        <f>'Estimates-on-the-use-of-water-('!Z134</f>
        <v>43</v>
      </c>
      <c r="C124" s="2">
        <f>'Estimates-on-the-use-of-water-('!AA124</f>
        <v>10</v>
      </c>
    </row>
    <row r="125">
      <c r="A125" s="3">
        <f>'Estimates-on-the-use-of-water-('!Y137</f>
        <v>70</v>
      </c>
      <c r="B125" s="3">
        <f>'Estimates-on-the-use-of-water-('!Z152</f>
        <v>43</v>
      </c>
      <c r="C125" s="3">
        <f>'Estimates-on-the-use-of-water-('!AA125</f>
        <v>11</v>
      </c>
    </row>
    <row r="126">
      <c r="A126" s="2">
        <f>'Estimates-on-the-use-of-water-('!Y180</f>
        <v>70</v>
      </c>
      <c r="B126" s="2">
        <f>'Estimates-on-the-use-of-water-('!Z163</f>
        <v>43</v>
      </c>
      <c r="C126" s="2">
        <f>'Estimates-on-the-use-of-water-('!AA126</f>
        <v>11</v>
      </c>
    </row>
    <row r="127">
      <c r="A127" s="3">
        <f>'Estimates-on-the-use-of-water-('!Y72</f>
        <v>71</v>
      </c>
      <c r="B127" s="3">
        <f>'Estimates-on-the-use-of-water-('!Z168</f>
        <v>43</v>
      </c>
      <c r="C127" s="3">
        <f>'Estimates-on-the-use-of-water-('!AA127</f>
        <v>11</v>
      </c>
    </row>
    <row r="128">
      <c r="A128" s="2">
        <f>'Estimates-on-the-use-of-water-('!Y136</f>
        <v>71</v>
      </c>
      <c r="B128" s="2">
        <f>'Estimates-on-the-use-of-water-('!Z79</f>
        <v>44</v>
      </c>
      <c r="C128" s="2">
        <f>'Estimates-on-the-use-of-water-('!AA128</f>
        <v>11</v>
      </c>
    </row>
    <row r="129">
      <c r="A129" s="3">
        <f>'Estimates-on-the-use-of-water-('!Y179</f>
        <v>71</v>
      </c>
      <c r="B129" s="3">
        <f>'Estimates-on-the-use-of-water-('!Z117</f>
        <v>44</v>
      </c>
      <c r="C129" s="3">
        <f>'Estimates-on-the-use-of-water-('!AA129</f>
        <v>11</v>
      </c>
    </row>
    <row r="130">
      <c r="A130" s="2">
        <f>'Estimates-on-the-use-of-water-('!Y37</f>
        <v>72</v>
      </c>
      <c r="B130" s="2">
        <f>'Estimates-on-the-use-of-water-('!Z126</f>
        <v>44</v>
      </c>
      <c r="C130" s="2">
        <f>'Estimates-on-the-use-of-water-('!AA130</f>
        <v>11</v>
      </c>
    </row>
    <row r="131">
      <c r="A131" s="3">
        <f>'Estimates-on-the-use-of-water-('!Y122</f>
        <v>72</v>
      </c>
      <c r="B131" s="3">
        <f>'Estimates-on-the-use-of-water-('!Z211</f>
        <v>44</v>
      </c>
      <c r="C131" s="3">
        <f>'Estimates-on-the-use-of-water-('!AA131</f>
        <v>11</v>
      </c>
    </row>
    <row r="132">
      <c r="A132" s="2">
        <f>'Estimates-on-the-use-of-water-('!Y192</f>
        <v>72</v>
      </c>
      <c r="B132" s="2">
        <f>'Estimates-on-the-use-of-water-('!Z30</f>
        <v>45</v>
      </c>
      <c r="C132" s="2">
        <f>'Estimates-on-the-use-of-water-('!AA132</f>
        <v>12</v>
      </c>
    </row>
    <row r="133">
      <c r="A133" s="3">
        <f>'Estimates-on-the-use-of-water-('!Y104</f>
        <v>74</v>
      </c>
      <c r="B133" s="3">
        <f>'Estimates-on-the-use-of-water-('!Z68</f>
        <v>45</v>
      </c>
      <c r="C133" s="3">
        <f>'Estimates-on-the-use-of-water-('!AA133</f>
        <v>12</v>
      </c>
    </row>
    <row r="134">
      <c r="A134" s="2">
        <f>'Estimates-on-the-use-of-water-('!Y115</f>
        <v>74</v>
      </c>
      <c r="B134" s="2">
        <f>'Estimates-on-the-use-of-water-('!Z89</f>
        <v>45</v>
      </c>
      <c r="C134" s="2">
        <f>'Estimates-on-the-use-of-water-('!AA134</f>
        <v>12</v>
      </c>
    </row>
    <row r="135">
      <c r="A135" s="3">
        <f>'Estimates-on-the-use-of-water-('!Y182</f>
        <v>74</v>
      </c>
      <c r="B135" s="3">
        <f>'Estimates-on-the-use-of-water-('!Z148</f>
        <v>45</v>
      </c>
      <c r="C135" s="3">
        <f>'Estimates-on-the-use-of-water-('!AA135</f>
        <v>12</v>
      </c>
    </row>
    <row r="136">
      <c r="A136" s="2">
        <f>'Estimates-on-the-use-of-water-('!Y34</f>
        <v>75</v>
      </c>
      <c r="B136" s="2">
        <f>'Estimates-on-the-use-of-water-('!Z155</f>
        <v>46</v>
      </c>
      <c r="C136" s="2">
        <f>'Estimates-on-the-use-of-water-('!AA136</f>
        <v>12</v>
      </c>
    </row>
    <row r="137">
      <c r="A137" s="3">
        <f>'Estimates-on-the-use-of-water-('!Y130</f>
        <v>75</v>
      </c>
      <c r="B137" s="3">
        <f>'Estimates-on-the-use-of-water-('!Z64</f>
        <v>47</v>
      </c>
      <c r="C137" s="3">
        <f>'Estimates-on-the-use-of-water-('!AA137</f>
        <v>12</v>
      </c>
    </row>
    <row r="138">
      <c r="A138" s="2">
        <f>'Estimates-on-the-use-of-water-('!Y206</f>
        <v>75</v>
      </c>
      <c r="B138" s="2">
        <f>'Estimates-on-the-use-of-water-('!Z98</f>
        <v>47</v>
      </c>
      <c r="C138" s="2">
        <f>'Estimates-on-the-use-of-water-('!AA138</f>
        <v>12</v>
      </c>
    </row>
    <row r="139">
      <c r="A139" s="3">
        <f>'Estimates-on-the-use-of-water-('!Y12</f>
        <v>76</v>
      </c>
      <c r="B139" s="3">
        <f>'Estimates-on-the-use-of-water-('!Z27</f>
        <v>48</v>
      </c>
      <c r="C139" s="3">
        <f>'Estimates-on-the-use-of-water-('!AA139</f>
        <v>13</v>
      </c>
    </row>
    <row r="140">
      <c r="A140" s="2">
        <f>'Estimates-on-the-use-of-water-('!Y109</f>
        <v>76</v>
      </c>
      <c r="B140" s="2">
        <f>'Estimates-on-the-use-of-water-('!Z74</f>
        <v>48</v>
      </c>
      <c r="C140" s="2">
        <f>'Estimates-on-the-use-of-water-('!AA140</f>
        <v>13</v>
      </c>
    </row>
    <row r="141">
      <c r="A141" s="3">
        <f>'Estimates-on-the-use-of-water-('!Y197</f>
        <v>76</v>
      </c>
      <c r="B141" s="3">
        <f>'Estimates-on-the-use-of-water-('!Z93</f>
        <v>48</v>
      </c>
      <c r="C141" s="3">
        <f>'Estimates-on-the-use-of-water-('!AA141</f>
        <v>14</v>
      </c>
    </row>
    <row r="142">
      <c r="A142" s="2">
        <f>'Estimates-on-the-use-of-water-('!Y95</f>
        <v>77</v>
      </c>
      <c r="B142" s="2">
        <f>'Estimates-on-the-use-of-water-('!Z103</f>
        <v>48</v>
      </c>
      <c r="C142" s="2">
        <f>'Estimates-on-the-use-of-water-('!AA142</f>
        <v>15</v>
      </c>
    </row>
    <row r="143">
      <c r="A143" s="3">
        <f>'Estimates-on-the-use-of-water-('!Y198</f>
        <v>77</v>
      </c>
      <c r="B143" s="3">
        <f>'Estimates-on-the-use-of-water-('!Z150</f>
        <v>49</v>
      </c>
      <c r="C143" s="3">
        <f>'Estimates-on-the-use-of-water-('!AA143</f>
        <v>16</v>
      </c>
    </row>
    <row r="144">
      <c r="A144" s="2">
        <f>'Estimates-on-the-use-of-water-('!Y24</f>
        <v>78</v>
      </c>
      <c r="B144" s="2">
        <f>'Estimates-on-the-use-of-water-('!Z162</f>
        <v>49</v>
      </c>
      <c r="C144" s="2">
        <f>'Estimates-on-the-use-of-water-('!AA144</f>
        <v>17</v>
      </c>
    </row>
    <row r="145">
      <c r="A145" s="3">
        <f>'Estimates-on-the-use-of-water-('!Y133</f>
        <v>78</v>
      </c>
      <c r="B145" s="3">
        <f>'Estimates-on-the-use-of-water-('!Z195</f>
        <v>49</v>
      </c>
      <c r="C145" s="3">
        <f>'Estimates-on-the-use-of-water-('!AA145</f>
        <v>17</v>
      </c>
    </row>
    <row r="146">
      <c r="A146" s="2">
        <f>'Estimates-on-the-use-of-water-('!Y170</f>
        <v>78</v>
      </c>
      <c r="B146" s="2">
        <f>'Estimates-on-the-use-of-water-('!Z208</f>
        <v>49</v>
      </c>
      <c r="C146" s="2">
        <f>'Estimates-on-the-use-of-water-('!AA146</f>
        <v>17</v>
      </c>
    </row>
    <row r="147">
      <c r="A147" s="3">
        <f>'Estimates-on-the-use-of-water-('!Y196</f>
        <v>78</v>
      </c>
      <c r="B147" s="3">
        <f>'Estimates-on-the-use-of-water-('!Z173</f>
        <v>50</v>
      </c>
      <c r="C147" s="3">
        <f>'Estimates-on-the-use-of-water-('!AA147</f>
        <v>18</v>
      </c>
    </row>
    <row r="148">
      <c r="A148" s="2">
        <f>'Estimates-on-the-use-of-water-('!Y4</f>
        <v>79</v>
      </c>
      <c r="B148" s="2">
        <f>'Estimates-on-the-use-of-water-('!Z82</f>
        <v>51</v>
      </c>
      <c r="C148" s="2">
        <f>'Estimates-on-the-use-of-water-('!AA148</f>
        <v>18</v>
      </c>
    </row>
    <row r="149">
      <c r="A149" s="3">
        <f>'Estimates-on-the-use-of-water-('!Y45</f>
        <v>79</v>
      </c>
      <c r="B149" s="3">
        <f>'Estimates-on-the-use-of-water-('!Z14</f>
        <v>52</v>
      </c>
      <c r="C149" s="3">
        <f>'Estimates-on-the-use-of-water-('!AA149</f>
        <v>18</v>
      </c>
    </row>
    <row r="150">
      <c r="A150" s="2">
        <f>'Estimates-on-the-use-of-water-('!Y58</f>
        <v>79</v>
      </c>
      <c r="B150" s="2">
        <f>'Estimates-on-the-use-of-water-('!Z139</f>
        <v>52</v>
      </c>
      <c r="C150" s="2">
        <f>'Estimates-on-the-use-of-water-('!AA150</f>
        <v>18</v>
      </c>
    </row>
    <row r="151">
      <c r="A151" s="3">
        <f>'Estimates-on-the-use-of-water-('!Y172</f>
        <v>79</v>
      </c>
      <c r="B151" s="3">
        <f>'Estimates-on-the-use-of-water-('!Z146</f>
        <v>52</v>
      </c>
      <c r="C151" s="3">
        <f>'Estimates-on-the-use-of-water-('!AA151</f>
        <v>19</v>
      </c>
    </row>
    <row r="152">
      <c r="A152" s="2">
        <f>'Estimates-on-the-use-of-water-('!Y120</f>
        <v>80</v>
      </c>
      <c r="B152" s="2">
        <f>'Estimates-on-the-use-of-water-('!Z202</f>
        <v>53</v>
      </c>
      <c r="C152" s="2">
        <f>'Estimates-on-the-use-of-water-('!AA152</f>
        <v>19</v>
      </c>
    </row>
    <row r="153">
      <c r="A153" s="3">
        <f>'Estimates-on-the-use-of-water-('!Y129</f>
        <v>80</v>
      </c>
      <c r="B153" s="3">
        <f>'Estimates-on-the-use-of-water-('!Z3</f>
        <v>54</v>
      </c>
      <c r="C153" s="3">
        <f>'Estimates-on-the-use-of-water-('!AA153</f>
        <v>20</v>
      </c>
    </row>
    <row r="154">
      <c r="A154" s="2">
        <f>'Estimates-on-the-use-of-water-('!Y13</f>
        <v>81</v>
      </c>
      <c r="B154" s="2">
        <f>'Estimates-on-the-use-of-water-('!Z43</f>
        <v>54</v>
      </c>
      <c r="C154" s="2">
        <f>'Estimates-on-the-use-of-water-('!AA154</f>
        <v>20</v>
      </c>
    </row>
    <row r="155">
      <c r="A155" s="3">
        <f>'Estimates-on-the-use-of-water-('!Y94</f>
        <v>81</v>
      </c>
      <c r="B155" s="3">
        <f>'Estimates-on-the-use-of-water-('!Z143</f>
        <v>54</v>
      </c>
      <c r="C155" s="3">
        <f>'Estimates-on-the-use-of-water-('!AA155</f>
        <v>20</v>
      </c>
    </row>
    <row r="156">
      <c r="A156" s="2">
        <f>'Estimates-on-the-use-of-water-('!Y108</f>
        <v>81</v>
      </c>
      <c r="B156" s="2">
        <f>'Estimates-on-the-use-of-water-('!Z35</f>
        <v>55</v>
      </c>
      <c r="C156" s="2">
        <f>'Estimates-on-the-use-of-water-('!AA156</f>
        <v>21</v>
      </c>
    </row>
    <row r="157">
      <c r="A157" s="3">
        <f>'Estimates-on-the-use-of-water-('!Y185</f>
        <v>81</v>
      </c>
      <c r="B157" s="3">
        <f>'Estimates-on-the-use-of-water-('!Z199</f>
        <v>55</v>
      </c>
      <c r="C157" s="3">
        <f>'Estimates-on-the-use-of-water-('!AA157</f>
        <v>21</v>
      </c>
    </row>
    <row r="158">
      <c r="A158" s="2">
        <f>'Estimates-on-the-use-of-water-('!Y193</f>
        <v>81</v>
      </c>
      <c r="B158" s="2">
        <f>'Estimates-on-the-use-of-water-('!Z67</f>
        <v>56</v>
      </c>
      <c r="C158" s="2">
        <f>'Estimates-on-the-use-of-water-('!AA158</f>
        <v>22</v>
      </c>
    </row>
    <row r="159">
      <c r="A159" s="3">
        <f>'Estimates-on-the-use-of-water-('!Y205</f>
        <v>81</v>
      </c>
      <c r="B159" s="3">
        <f>'Estimates-on-the-use-of-water-('!Z151</f>
        <v>56</v>
      </c>
      <c r="C159" s="3">
        <f>'Estimates-on-the-use-of-water-('!AA159</f>
        <v>25</v>
      </c>
    </row>
    <row r="160">
      <c r="A160" s="2">
        <f>'Estimates-on-the-use-of-water-('!Y176</f>
        <v>82</v>
      </c>
      <c r="B160" s="2">
        <f>'Estimates-on-the-use-of-water-('!Z156</f>
        <v>57</v>
      </c>
      <c r="C160" s="2">
        <f>'Estimates-on-the-use-of-water-('!AA160</f>
        <v>26</v>
      </c>
    </row>
    <row r="161">
      <c r="A161" s="3">
        <f>'Estimates-on-the-use-of-water-('!Y186</f>
        <v>82</v>
      </c>
      <c r="B161" s="3">
        <f>'Estimates-on-the-use-of-water-('!Z20</f>
        <v>58</v>
      </c>
      <c r="C161" s="3">
        <f>'Estimates-on-the-use-of-water-('!AA161</f>
        <v>26</v>
      </c>
    </row>
    <row r="162">
      <c r="A162" s="2">
        <f>'Estimates-on-the-use-of-water-('!Y187</f>
        <v>82</v>
      </c>
      <c r="B162" s="2">
        <f>'Estimates-on-the-use-of-water-('!Z54</f>
        <v>58</v>
      </c>
      <c r="C162" s="2">
        <f>'Estimates-on-the-use-of-water-('!AA162</f>
        <v>27</v>
      </c>
    </row>
    <row r="163">
      <c r="A163" s="3">
        <f>'Estimates-on-the-use-of-water-('!Y97</f>
        <v>83</v>
      </c>
      <c r="B163" s="3">
        <f>'Estimates-on-the-use-of-water-('!Z85</f>
        <v>58</v>
      </c>
      <c r="C163" s="3">
        <f>'Estimates-on-the-use-of-water-('!AA163</f>
        <v>27</v>
      </c>
    </row>
    <row r="164">
      <c r="A164" s="2">
        <f>'Estimates-on-the-use-of-water-('!Y131</f>
        <v>83</v>
      </c>
      <c r="B164" s="2">
        <f>'Estimates-on-the-use-of-water-('!Z91</f>
        <v>58</v>
      </c>
      <c r="C164" s="2">
        <f>'Estimates-on-the-use-of-water-('!AA164</f>
        <v>28</v>
      </c>
    </row>
    <row r="165">
      <c r="A165" s="3">
        <f>'Estimates-on-the-use-of-water-('!Y212</f>
        <v>83</v>
      </c>
      <c r="B165" s="3">
        <f>'Estimates-on-the-use-of-water-('!Z113</f>
        <v>58</v>
      </c>
      <c r="C165" s="3">
        <f>'Estimates-on-the-use-of-water-('!AA165</f>
        <v>29</v>
      </c>
    </row>
    <row r="166">
      <c r="A166" s="2">
        <f>'Estimates-on-the-use-of-water-('!Y194</f>
        <v>84</v>
      </c>
      <c r="B166" s="2">
        <f>'Estimates-on-the-use-of-water-('!Z114</f>
        <v>58</v>
      </c>
      <c r="C166" s="2">
        <f>'Estimates-on-the-use-of-water-('!AA166</f>
        <v>30</v>
      </c>
    </row>
    <row r="167">
      <c r="A167" s="3">
        <f>'Estimates-on-the-use-of-water-('!Y174</f>
        <v>85</v>
      </c>
      <c r="B167" s="3">
        <f>'Estimates-on-the-use-of-water-('!Z201</f>
        <v>58</v>
      </c>
      <c r="C167" s="3">
        <f>'Estimates-on-the-use-of-water-('!AA167</f>
        <v>30</v>
      </c>
    </row>
    <row r="168">
      <c r="A168" s="2">
        <f>'Estimates-on-the-use-of-water-('!Y39</f>
        <v>86</v>
      </c>
      <c r="B168" s="2">
        <f>'Estimates-on-the-use-of-water-('!Z7</f>
        <v>60</v>
      </c>
      <c r="C168" s="2">
        <f>'Estimates-on-the-use-of-water-('!AA168</f>
        <v>32</v>
      </c>
    </row>
    <row r="169">
      <c r="A169" s="3">
        <f>'Estimates-on-the-use-of-water-('!Y100</f>
        <v>86</v>
      </c>
      <c r="B169" s="3">
        <f>'Estimates-on-the-use-of-water-('!Z47</f>
        <v>60</v>
      </c>
      <c r="C169" s="3">
        <f>'Estimates-on-the-use-of-water-('!AA169</f>
        <v>32</v>
      </c>
    </row>
    <row r="170">
      <c r="A170" s="2">
        <f>'Estimates-on-the-use-of-water-('!Y90</f>
        <v>87</v>
      </c>
      <c r="B170" s="2">
        <f>'Estimates-on-the-use-of-water-('!Z61</f>
        <v>60</v>
      </c>
      <c r="C170" s="2">
        <f>'Estimates-on-the-use-of-water-('!AA170</f>
        <v>33</v>
      </c>
    </row>
    <row r="171">
      <c r="A171" s="3">
        <f>'Estimates-on-the-use-of-water-('!Y96</f>
        <v>87</v>
      </c>
      <c r="B171" s="3">
        <f>'Estimates-on-the-use-of-water-('!Z164</f>
        <v>62</v>
      </c>
      <c r="C171" s="3">
        <f>'Estimates-on-the-use-of-water-('!AA171</f>
        <v>33</v>
      </c>
    </row>
    <row r="172">
      <c r="A172" s="2">
        <f>'Estimates-on-the-use-of-water-('!Y160</f>
        <v>87</v>
      </c>
      <c r="B172" s="2">
        <f>'Estimates-on-the-use-of-water-('!Z207</f>
        <v>62</v>
      </c>
      <c r="C172" s="2">
        <f>'Estimates-on-the-use-of-water-('!AA172</f>
        <v>33</v>
      </c>
    </row>
    <row r="173">
      <c r="A173" s="3">
        <f>'Estimates-on-the-use-of-water-('!Y21</f>
        <v>88</v>
      </c>
      <c r="B173" s="3">
        <f>'Estimates-on-the-use-of-water-('!Z167</f>
        <v>63</v>
      </c>
      <c r="C173" s="3">
        <f>'Estimates-on-the-use-of-water-('!AA173</f>
        <v>34</v>
      </c>
    </row>
    <row r="174">
      <c r="A174" s="2">
        <f>'Estimates-on-the-use-of-water-('!Y22</f>
        <v>88</v>
      </c>
      <c r="B174" s="2">
        <f>'Estimates-on-the-use-of-water-('!Z169</f>
        <v>63</v>
      </c>
      <c r="C174" s="2">
        <f>'Estimates-on-the-use-of-water-('!AA174</f>
        <v>35</v>
      </c>
    </row>
    <row r="175">
      <c r="A175" s="3">
        <f>'Estimates-on-the-use-of-water-('!Y26</f>
        <v>88</v>
      </c>
      <c r="B175" s="3">
        <f>'Estimates-on-the-use-of-water-('!Z200</f>
        <v>63</v>
      </c>
      <c r="C175" s="3">
        <f>'Estimates-on-the-use-of-water-('!AA175</f>
        <v>37</v>
      </c>
    </row>
    <row r="176">
      <c r="A176" s="2">
        <f>'Estimates-on-the-use-of-water-('!Y123</f>
        <v>88</v>
      </c>
      <c r="B176" s="2">
        <f>'Estimates-on-the-use-of-water-('!Z210</f>
        <v>63</v>
      </c>
      <c r="C176" s="2">
        <f>'Estimates-on-the-use-of-water-('!AA176</f>
        <v>38</v>
      </c>
    </row>
    <row r="177">
      <c r="A177" s="3">
        <f>'Estimates-on-the-use-of-water-('!Y125</f>
        <v>88</v>
      </c>
      <c r="B177" s="3">
        <f>'Estimates-on-the-use-of-water-('!Z105</f>
        <v>64</v>
      </c>
      <c r="C177" s="3">
        <f>'Estimates-on-the-use-of-water-('!AA177</f>
        <v>38</v>
      </c>
    </row>
    <row r="178">
      <c r="A178" s="2">
        <f>'Estimates-on-the-use-of-water-('!Y153</f>
        <v>88</v>
      </c>
      <c r="B178" s="2">
        <f>'Estimates-on-the-use-of-water-('!Z111</f>
        <v>64</v>
      </c>
      <c r="C178" s="2">
        <f>'Estimates-on-the-use-of-water-('!AA178</f>
        <v>39</v>
      </c>
    </row>
    <row r="179">
      <c r="A179" s="3">
        <f>'Estimates-on-the-use-of-water-('!Y209</f>
        <v>88</v>
      </c>
      <c r="B179" s="3">
        <f>'Estimates-on-the-use-of-water-('!Z141</f>
        <v>64</v>
      </c>
      <c r="C179" s="3">
        <f>'Estimates-on-the-use-of-water-('!AA179</f>
        <v>41</v>
      </c>
    </row>
    <row r="180">
      <c r="A180" s="2">
        <f>'Estimates-on-the-use-of-water-('!Y101</f>
        <v>89</v>
      </c>
      <c r="B180" s="2">
        <f>'Estimates-on-the-use-of-water-('!Z181</f>
        <v>65</v>
      </c>
      <c r="C180" s="2">
        <f>'Estimates-on-the-use-of-water-('!AA180</f>
        <v>44</v>
      </c>
    </row>
    <row r="181">
      <c r="A181" s="3">
        <f>'Estimates-on-the-use-of-water-('!Y107</f>
        <v>89</v>
      </c>
      <c r="B181" s="3">
        <f>'Estimates-on-the-use-of-water-('!Z191</f>
        <v>65</v>
      </c>
      <c r="C181" s="3">
        <f>'Estimates-on-the-use-of-water-('!AA181</f>
        <v>44</v>
      </c>
    </row>
    <row r="182">
      <c r="A182" s="2">
        <f>'Estimates-on-the-use-of-water-('!Y165</f>
        <v>89</v>
      </c>
      <c r="B182" s="2">
        <f>'Estimates-on-the-use-of-water-('!Z213</f>
        <v>66</v>
      </c>
      <c r="C182" s="2">
        <f>'Estimates-on-the-use-of-water-('!AA182</f>
        <v>44</v>
      </c>
    </row>
    <row r="183">
      <c r="A183" s="3">
        <f>'Estimates-on-the-use-of-water-('!Y6</f>
        <v>90</v>
      </c>
      <c r="B183" s="3">
        <f>'Estimates-on-the-use-of-water-('!Z142</f>
        <v>68</v>
      </c>
      <c r="C183" s="3">
        <f>'Estimates-on-the-use-of-water-('!AA183</f>
        <v>46</v>
      </c>
    </row>
    <row r="184">
      <c r="A184" s="2">
        <f>'Estimates-on-the-use-of-water-('!Y42</f>
        <v>90</v>
      </c>
      <c r="B184" s="2">
        <f>'Estimates-on-the-use-of-water-('!Z38</f>
        <v>69</v>
      </c>
      <c r="C184" s="2">
        <f>'Estimates-on-the-use-of-water-('!AA184</f>
        <v>46</v>
      </c>
    </row>
    <row r="185">
      <c r="A185" s="3">
        <f>'Estimates-on-the-use-of-water-('!Y65</f>
        <v>90</v>
      </c>
      <c r="B185" s="3">
        <f>'Estimates-on-the-use-of-water-('!Z62</f>
        <v>69</v>
      </c>
      <c r="C185" s="3">
        <f>'Estimates-on-the-use-of-water-('!AA185</f>
        <v>47</v>
      </c>
    </row>
    <row r="186">
      <c r="A186" s="2">
        <f>'Estimates-on-the-use-of-water-('!Y71</f>
        <v>91</v>
      </c>
      <c r="B186" s="2">
        <f>'Estimates-on-the-use-of-water-('!Z189</f>
        <v>69</v>
      </c>
      <c r="C186" s="2">
        <f>'Estimates-on-the-use-of-water-('!AA186</f>
        <v>51</v>
      </c>
    </row>
    <row r="187">
      <c r="A187" s="3">
        <f>'Estimates-on-the-use-of-water-('!Y23</f>
        <v>92</v>
      </c>
      <c r="B187" s="3">
        <f>'Estimates-on-the-use-of-water-('!Z157</f>
        <v>70</v>
      </c>
      <c r="C187" s="3">
        <f>'Estimates-on-the-use-of-water-('!AA187</f>
        <v>52</v>
      </c>
    </row>
    <row r="188">
      <c r="A188" s="2">
        <f>'Estimates-on-the-use-of-water-('!Y50</f>
        <v>92</v>
      </c>
      <c r="B188" s="2">
        <f>'Estimates-on-the-use-of-water-('!Z70</f>
        <v>71</v>
      </c>
      <c r="C188" s="2">
        <f>'Estimates-on-the-use-of-water-('!AA188</f>
        <v>54</v>
      </c>
    </row>
    <row r="189">
      <c r="A189" s="3">
        <f>'Estimates-on-the-use-of-water-('!Y128</f>
        <v>92</v>
      </c>
      <c r="B189" s="3">
        <f>'Estimates-on-the-use-of-water-('!Z121</f>
        <v>73</v>
      </c>
      <c r="C189" s="3">
        <f>'Estimates-on-the-use-of-water-('!AA189</f>
        <v>55</v>
      </c>
    </row>
    <row r="190">
      <c r="A190" s="2">
        <f>'Estimates-on-the-use-of-water-('!Y204</f>
        <v>92</v>
      </c>
      <c r="B190" s="2">
        <f>'Estimates-on-the-use-of-water-('!Z188</f>
        <v>73</v>
      </c>
      <c r="C190" s="2">
        <f>'Estimates-on-the-use-of-water-('!AA190</f>
        <v>60</v>
      </c>
    </row>
    <row r="191">
      <c r="A191" s="3">
        <f>'Estimates-on-the-use-of-water-('!Y116</f>
        <v>93</v>
      </c>
      <c r="B191" s="3">
        <f>'Estimates-on-the-use-of-water-('!Z55</f>
        <v>74</v>
      </c>
      <c r="C191" s="3">
        <f>'Estimates-on-the-use-of-water-('!AA191</f>
        <v>60</v>
      </c>
    </row>
    <row r="192">
      <c r="A192" s="2">
        <f>'Estimates-on-the-use-of-water-('!Y147</f>
        <v>93</v>
      </c>
      <c r="B192" s="2">
        <f>'Estimates-on-the-use-of-water-('!Z178</f>
        <v>74</v>
      </c>
      <c r="C192" s="2">
        <f>'Estimates-on-the-use-of-water-('!AA192</f>
        <v>61</v>
      </c>
    </row>
    <row r="193">
      <c r="A193" s="3">
        <f>'Estimates-on-the-use-of-water-('!Y183</f>
        <v>93</v>
      </c>
      <c r="B193" s="3">
        <f>'Estimates-on-the-use-of-water-('!Z40</f>
        <v>75</v>
      </c>
      <c r="C193" s="3">
        <f>'Estimates-on-the-use-of-water-('!AA193</f>
        <v>66</v>
      </c>
    </row>
    <row r="194">
      <c r="A194" s="2">
        <f>'Estimates-on-the-use-of-water-('!Y41</f>
        <v>94</v>
      </c>
      <c r="B194" s="2">
        <f>'Estimates-on-the-use-of-water-('!Z53</f>
        <v>76</v>
      </c>
      <c r="C194" s="2">
        <f>'Estimates-on-the-use-of-water-('!AA194</f>
        <v>68</v>
      </c>
    </row>
    <row r="195">
      <c r="A195" s="3">
        <f>'Estimates-on-the-use-of-water-('!Y76</f>
        <v>94</v>
      </c>
      <c r="B195" s="3">
        <f>'Estimates-on-the-use-of-water-('!Z59</f>
        <v>76</v>
      </c>
      <c r="C195" s="3">
        <f>'Estimates-on-the-use-of-water-('!AA195</f>
        <v>70</v>
      </c>
    </row>
    <row r="196">
      <c r="A196" s="2">
        <f>'Estimates-on-the-use-of-water-('!Y31</f>
        <v>95</v>
      </c>
      <c r="B196" s="2">
        <f>'Estimates-on-the-use-of-water-('!Z145</f>
        <v>76</v>
      </c>
      <c r="C196" s="2">
        <f>'Estimates-on-the-use-of-water-('!AA196</f>
        <v>84</v>
      </c>
    </row>
    <row r="197">
      <c r="A197" s="3">
        <f>'Estimates-on-the-use-of-water-('!Y46</f>
        <v>95</v>
      </c>
      <c r="B197" s="3">
        <f>'Estimates-on-the-use-of-water-('!Z184</f>
        <v>76</v>
      </c>
      <c r="C197" s="3">
        <f>'Estimates-on-the-use-of-water-('!AA197</f>
        <v>84</v>
      </c>
    </row>
    <row r="198">
      <c r="A198" s="2">
        <f>'Estimates-on-the-use-of-water-('!Y28</f>
        <v>96</v>
      </c>
      <c r="B198" s="2">
        <f>'Estimates-on-the-use-of-water-('!Z29</f>
        <v>77</v>
      </c>
      <c r="C198" s="2">
        <f>'Estimates-on-the-use-of-water-('!AA198</f>
        <v>85</v>
      </c>
    </row>
    <row r="199">
      <c r="A199" s="3">
        <f>'Estimates-on-the-use-of-water-('!Y83</f>
        <v>96</v>
      </c>
      <c r="B199" s="3">
        <f>'Estimates-on-the-use-of-water-('!Z144</f>
        <v>77</v>
      </c>
      <c r="C199" s="3">
        <f>'Estimates-on-the-use-of-water-('!AA199</f>
        <v>90</v>
      </c>
    </row>
    <row r="200">
      <c r="A200" s="2">
        <f>'Estimates-on-the-use-of-water-('!Y16</f>
        <v>98</v>
      </c>
      <c r="B200" s="2">
        <f>'Estimates-on-the-use-of-water-('!Z203</f>
        <v>79</v>
      </c>
      <c r="C200" s="2">
        <f>'Estimates-on-the-use-of-water-('!AA200</f>
        <v>98</v>
      </c>
    </row>
    <row r="201">
      <c r="A201" s="3">
        <f>'Estimates-on-the-use-of-water-('!Y44</f>
        <v>99</v>
      </c>
      <c r="B201" s="3">
        <f>'Estimates-on-the-use-of-water-('!Z132</f>
        <v>80</v>
      </c>
      <c r="C201" s="3">
        <f>'Estimates-on-the-use-of-water-('!AA201</f>
        <v>103</v>
      </c>
    </row>
    <row r="202">
      <c r="A202" s="2">
        <f>'Estimates-on-the-use-of-water-('!Y135</f>
        <v>99</v>
      </c>
      <c r="B202" s="2">
        <f>'Estimates-on-the-use-of-water-('!Z166</f>
        <v>80</v>
      </c>
      <c r="C202" s="2">
        <f>'Estimates-on-the-use-of-water-('!AA202</f>
        <v>110</v>
      </c>
    </row>
    <row r="203">
      <c r="A203" s="3">
        <f>'Estimates-on-the-use-of-water-('!Y8</f>
        <v>100</v>
      </c>
      <c r="B203" s="3">
        <f>'Estimates-on-the-use-of-water-('!Z32</f>
        <v>82</v>
      </c>
      <c r="C203" s="3">
        <f>'Estimates-on-the-use-of-water-('!AA203</f>
        <v>115</v>
      </c>
    </row>
    <row r="204">
      <c r="A204" s="2">
        <f>'Estimates-on-the-use-of-water-('!Y9</f>
        <v>100</v>
      </c>
      <c r="B204" s="2">
        <f>'Estimates-on-the-use-of-water-('!Z158</f>
        <v>82</v>
      </c>
      <c r="C204" s="2">
        <f>'Estimates-on-the-use-of-water-('!AA204</f>
        <v>127</v>
      </c>
    </row>
    <row r="205">
      <c r="A205" s="3">
        <f>'Estimates-on-the-use-of-water-('!Y15</f>
        <v>100</v>
      </c>
      <c r="B205" s="3">
        <f>'Estimates-on-the-use-of-water-('!Z33</f>
        <v>83</v>
      </c>
      <c r="C205" s="3">
        <f>'Estimates-on-the-use-of-water-('!AA205</f>
        <v>129</v>
      </c>
    </row>
    <row r="206">
      <c r="A206" s="2">
        <f>'Estimates-on-the-use-of-water-('!Y18</f>
        <v>100</v>
      </c>
      <c r="B206" s="2">
        <f>'Estimates-on-the-use-of-water-('!Z140</f>
        <v>83</v>
      </c>
      <c r="C206" s="2">
        <f>'Estimates-on-the-use-of-water-('!AA206</f>
        <v>146</v>
      </c>
    </row>
    <row r="207">
      <c r="A207" s="3">
        <f>'Estimates-on-the-use-of-water-('!Y19</f>
        <v>100</v>
      </c>
      <c r="B207" s="3">
        <f>'Estimates-on-the-use-of-water-('!Z154</f>
        <v>83</v>
      </c>
      <c r="C207" s="3">
        <f>'Estimates-on-the-use-of-water-('!AA207</f>
        <v>165</v>
      </c>
    </row>
    <row r="208">
      <c r="A208" s="2">
        <f>'Estimates-on-the-use-of-water-('!Y25</f>
        <v>100</v>
      </c>
      <c r="B208" s="2">
        <f>'Estimates-on-the-use-of-water-('!Z159</f>
        <v>84</v>
      </c>
      <c r="C208" s="2">
        <f>'Estimates-on-the-use-of-water-('!AA208</f>
        <v>207</v>
      </c>
    </row>
    <row r="209">
      <c r="A209" s="3">
        <f>'Estimates-on-the-use-of-water-('!Y52</f>
        <v>100</v>
      </c>
      <c r="B209" s="3">
        <f>'Estimates-on-the-use-of-water-('!Z17</f>
        <v>86</v>
      </c>
      <c r="C209" s="3">
        <f>'Estimates-on-the-use-of-water-('!AA209</f>
        <v>213</v>
      </c>
    </row>
    <row r="210">
      <c r="A210" s="2">
        <f>'Estimates-on-the-use-of-water-('!Y56</f>
        <v>100</v>
      </c>
      <c r="B210" s="2">
        <f>'Estimates-on-the-use-of-water-('!Z118</f>
        <v>87</v>
      </c>
      <c r="C210" s="2">
        <f>'Estimates-on-the-use-of-water-('!AA210</f>
        <v>221</v>
      </c>
    </row>
    <row r="211">
      <c r="A211" s="3">
        <f>'Estimates-on-the-use-of-water-('!Y78</f>
        <v>100</v>
      </c>
      <c r="B211" s="3">
        <f>'Estimates-on-the-use-of-water-('!Z138</f>
        <v>87</v>
      </c>
      <c r="C211" s="3">
        <f>'Estimates-on-the-use-of-water-('!AA211</f>
        <v>274</v>
      </c>
    </row>
    <row r="212">
      <c r="A212" s="2">
        <f>'Estimates-on-the-use-of-water-('!Y87</f>
        <v>100</v>
      </c>
      <c r="B212" s="2">
        <f>'Estimates-on-the-use-of-water-('!Z5</f>
        <v>91</v>
      </c>
      <c r="C212" s="2">
        <f>'Estimates-on-the-use-of-water-('!AA212</f>
        <v>332</v>
      </c>
    </row>
    <row r="213">
      <c r="A213" s="3">
        <f>'Estimates-on-the-use-of-water-('!Y102</f>
        <v>100</v>
      </c>
      <c r="B213" s="3">
        <f>'Estimates-on-the-use-of-water-('!Z2</f>
        <v>100</v>
      </c>
      <c r="C213" s="3">
        <f>'Estimates-on-the-use-of-water-('!AA213</f>
        <v>1381</v>
      </c>
    </row>
    <row r="214">
      <c r="A214" s="2">
        <f>'Estimates-on-the-use-of-water-('!Y112</f>
        <v>100</v>
      </c>
      <c r="B214" s="2">
        <f>'Estimates-on-the-use-of-water-('!Z10</f>
        <v>100</v>
      </c>
      <c r="C214" s="2">
        <f>'Estimates-on-the-use-of-water-('!AA214</f>
        <v>1464</v>
      </c>
    </row>
  </sheetData>
  <autoFilter ref="$B$1:$B$1000">
    <sortState ref="B1:B1000">
      <sortCondition ref="B1:B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4" max="5" width="13.0"/>
    <col customWidth="1" min="8" max="10" width="13.0"/>
  </cols>
  <sheetData>
    <row r="1">
      <c r="A1" s="1" t="s">
        <v>275</v>
      </c>
      <c r="B1" s="1" t="s">
        <v>276</v>
      </c>
      <c r="C1" s="1" t="s">
        <v>277</v>
      </c>
    </row>
    <row r="2">
      <c r="A2" s="18">
        <f>SUM('Estimates-on-the-use-of-water-('!S:S)</f>
        <v>7786713708</v>
      </c>
      <c r="B2" s="18">
        <f>7.821*1000000000</f>
        <v>7821000000</v>
      </c>
      <c r="C2" s="18">
        <f>SUM('Estimates-on-the-use-of-water-('!T:T)</f>
        <v>4375331317</v>
      </c>
    </row>
    <row r="11">
      <c r="A11" s="31" t="s">
        <v>278</v>
      </c>
      <c r="B11" s="32" t="s">
        <v>279</v>
      </c>
    </row>
    <row r="12">
      <c r="A12" s="1" t="s">
        <v>280</v>
      </c>
      <c r="B12" s="33">
        <v>7.786713708E9</v>
      </c>
    </row>
    <row r="13">
      <c r="A13" s="1" t="s">
        <v>281</v>
      </c>
      <c r="B13" s="33">
        <v>7.821E9</v>
      </c>
    </row>
    <row r="14">
      <c r="A14" s="1" t="s">
        <v>282</v>
      </c>
      <c r="B14" s="33">
        <f>ABS(B12-B13)</f>
        <v>34286292</v>
      </c>
    </row>
    <row r="15">
      <c r="A15" s="1" t="s">
        <v>283</v>
      </c>
      <c r="B15" s="18">
        <f>(ABS(B12-B13)/((B12+B13)/2))*100</f>
        <v>0.4393506011</v>
      </c>
    </row>
    <row r="16">
      <c r="A16" s="1" t="s">
        <v>284</v>
      </c>
      <c r="B16" s="18">
        <f>ABS(B12/B13)*100</f>
        <v>99.56161243</v>
      </c>
    </row>
    <row r="23" ht="22.5" customHeight="1">
      <c r="A23" s="4" t="s">
        <v>285</v>
      </c>
      <c r="B23" s="4" t="s">
        <v>286</v>
      </c>
      <c r="C23" s="4" t="s">
        <v>287</v>
      </c>
      <c r="D23" s="4" t="s">
        <v>288</v>
      </c>
      <c r="E23" s="4" t="s">
        <v>289</v>
      </c>
      <c r="F23" s="4" t="s">
        <v>290</v>
      </c>
      <c r="G23" s="4" t="s">
        <v>291</v>
      </c>
      <c r="H23" s="4" t="s">
        <v>292</v>
      </c>
      <c r="I23" s="4" t="s">
        <v>293</v>
      </c>
      <c r="J23" s="4" t="s">
        <v>294</v>
      </c>
    </row>
    <row r="24" ht="22.5" customHeight="1">
      <c r="A24" s="7" t="s">
        <v>295</v>
      </c>
      <c r="B24" s="8">
        <f>MAX('Estimates-on-the-use-of-water-('!AD:AD)</f>
        <v>100</v>
      </c>
      <c r="C24" s="8">
        <f>MIN('Estimates-on-the-use-of-water-('!AD:AD)</f>
        <v>37</v>
      </c>
      <c r="D24" s="8">
        <f>AVERAGE('Estimates-on-the-use-of-water-('!AD:AD)</f>
        <v>89.86729858</v>
      </c>
      <c r="E24" s="8">
        <f>MEDIAN('Estimates-on-the-use-of-water-('!AD:AD)</f>
        <v>97</v>
      </c>
      <c r="F24" s="8">
        <f>MODE('Estimates-on-the-use-of-water-('!AD:AD)</f>
        <v>100</v>
      </c>
      <c r="G24" s="8">
        <f>_xlfn.QUARTILE.INC('Estimates-on-the-use-of-water-('!AD:AD,1)</f>
        <v>85.5</v>
      </c>
      <c r="H24" s="8">
        <f>_xlfn.QUARTILE.INC('Estimates-on-the-use-of-water-('!AD:AD,3)</f>
        <v>100</v>
      </c>
      <c r="I24" s="8">
        <f t="shared" ref="I24:I27" si="1">H24-G24</f>
        <v>14.5</v>
      </c>
      <c r="J24" s="8">
        <f>_xlfn.STDEV.S('Estimates-on-the-use-of-water-('!AD:AD)</f>
        <v>15.11452855</v>
      </c>
    </row>
    <row r="25" ht="22.5" customHeight="1">
      <c r="A25" s="7" t="s">
        <v>296</v>
      </c>
      <c r="B25" s="8">
        <f>MAX('Estimates-on-the-use-of-water-('!G2:G214)</f>
        <v>37.42696287</v>
      </c>
      <c r="C25" s="8">
        <f>MIN('Estimates-on-the-use-of-water-('!G:G)</f>
        <v>0</v>
      </c>
      <c r="D25" s="8">
        <f>AVERAGE('Estimates-on-the-use-of-water-('!G:G)</f>
        <v>3.865265345</v>
      </c>
      <c r="E25" s="8">
        <f>MEDIAN('Estimates-on-the-use-of-water-('!G:G)</f>
        <v>0.4707829181</v>
      </c>
      <c r="F25" s="8">
        <f>MODE('Estimates-on-the-use-of-water-('!G:G)</f>
        <v>0</v>
      </c>
      <c r="G25" s="8">
        <f>_xlfn.QUARTILE.INC('Estimates-on-the-use-of-water-('!G:G,1)</f>
        <v>0</v>
      </c>
      <c r="H25" s="8">
        <f>_xlfn.QUARTILE.INC('Estimates-on-the-use-of-water-('!G:G,3)</f>
        <v>4.851219157</v>
      </c>
      <c r="I25" s="8">
        <f t="shared" si="1"/>
        <v>4.851219157</v>
      </c>
      <c r="J25" s="8">
        <f>_xlfn.STDEV.S('Estimates-on-the-use-of-water-('!G:G)</f>
        <v>6.960846633</v>
      </c>
    </row>
    <row r="26" ht="22.5" customHeight="1">
      <c r="A26" s="7" t="s">
        <v>297</v>
      </c>
      <c r="B26" s="8">
        <f>MAX('Estimates-on-the-use-of-water-('!H2:H214)</f>
        <v>33.53911377</v>
      </c>
      <c r="C26" s="8">
        <f>MIN('Estimates-on-the-use-of-water-('!H:H)</f>
        <v>0</v>
      </c>
      <c r="D26" s="8">
        <f>AVERAGE('Estimates-on-the-use-of-water-('!H:H)</f>
        <v>4.418010654</v>
      </c>
      <c r="E26" s="8">
        <f>MEDIAN('Estimates-on-the-use-of-water-('!H:H)</f>
        <v>0.8536474704</v>
      </c>
      <c r="F26" s="8">
        <f>MODE('Estimates-on-the-use-of-water-('!H:H)</f>
        <v>0</v>
      </c>
      <c r="G26" s="8">
        <f>_xlfn.QUARTILE.INC('Estimates-on-the-use-of-water-('!H:H,1)</f>
        <v>0.03390622265</v>
      </c>
      <c r="H26" s="8">
        <f>_xlfn.QUARTILE.INC('Estimates-on-the-use-of-water-('!H:H,3)</f>
        <v>5.279309922</v>
      </c>
      <c r="I26" s="8">
        <f t="shared" si="1"/>
        <v>5.245403699</v>
      </c>
      <c r="J26" s="8">
        <f>_xlfn.STDEV.S('Estimates-on-the-use-of-water-('!H:H)</f>
        <v>7.174477036</v>
      </c>
    </row>
    <row r="27" ht="22.5" customHeight="1">
      <c r="A27" s="7" t="s">
        <v>298</v>
      </c>
      <c r="B27" s="8">
        <f>MAX('Estimates-on-the-use-of-water-('!I2:I214)</f>
        <v>30.36979308</v>
      </c>
      <c r="C27" s="8">
        <f>MIN('Estimates-on-the-use-of-water-('!I:I)</f>
        <v>0</v>
      </c>
      <c r="D27" s="8">
        <f>AVERAGE('Estimates-on-the-use-of-water-('!I:I)</f>
        <v>1.915488584</v>
      </c>
      <c r="E27" s="8">
        <f>MEDIAN('Estimates-on-the-use-of-water-('!I:I)</f>
        <v>0</v>
      </c>
      <c r="F27" s="8">
        <f>MODE('Estimates-on-the-use-of-water-('!I:I)</f>
        <v>0</v>
      </c>
      <c r="G27" s="8">
        <f>_xlfn.QUARTILE.INC('Estimates-on-the-use-of-water-('!I:I,1)</f>
        <v>0</v>
      </c>
      <c r="H27" s="8">
        <f>_xlfn.QUARTILE.INC('Estimates-on-the-use-of-water-('!I:I,3)</f>
        <v>1.878301993</v>
      </c>
      <c r="I27" s="8">
        <f t="shared" si="1"/>
        <v>1.878301993</v>
      </c>
      <c r="J27" s="8">
        <f>_xlfn.STDEV.S('Estimates-on-the-use-of-water-('!I:I)</f>
        <v>3.923973987</v>
      </c>
    </row>
    <row r="31" ht="22.5" customHeight="1">
      <c r="A31" s="34" t="s">
        <v>86</v>
      </c>
      <c r="B31" s="35" t="s">
        <v>87</v>
      </c>
      <c r="C31" s="35" t="s">
        <v>88</v>
      </c>
      <c r="D31" s="35" t="s">
        <v>89</v>
      </c>
      <c r="E31" s="35" t="s">
        <v>90</v>
      </c>
    </row>
    <row r="32" ht="22.5" customHeight="1">
      <c r="A32" s="7" t="s">
        <v>8</v>
      </c>
      <c r="B32" s="36">
        <f t="shared" ref="B32:B35" si="3">C24</f>
        <v>37</v>
      </c>
      <c r="C32" s="36">
        <f t="shared" ref="C32:D32" si="2">G24</f>
        <v>85.5</v>
      </c>
      <c r="D32" s="36">
        <f t="shared" si="2"/>
        <v>100</v>
      </c>
      <c r="E32" s="36">
        <f t="shared" ref="E32:E35" si="5">B24</f>
        <v>100</v>
      </c>
    </row>
    <row r="33" ht="22.5" customHeight="1">
      <c r="A33" s="7" t="s">
        <v>9</v>
      </c>
      <c r="B33" s="36">
        <f t="shared" si="3"/>
        <v>0</v>
      </c>
      <c r="C33" s="36">
        <f t="shared" ref="C33:D33" si="4">G25</f>
        <v>0</v>
      </c>
      <c r="D33" s="36">
        <f t="shared" si="4"/>
        <v>4.851219157</v>
      </c>
      <c r="E33" s="36">
        <f t="shared" si="5"/>
        <v>37.42696287</v>
      </c>
    </row>
    <row r="34" ht="22.5" customHeight="1">
      <c r="A34" s="7" t="s">
        <v>10</v>
      </c>
      <c r="B34" s="36">
        <f t="shared" si="3"/>
        <v>0</v>
      </c>
      <c r="C34" s="36">
        <f t="shared" ref="C34:D34" si="6">G26</f>
        <v>0.03390622265</v>
      </c>
      <c r="D34" s="36">
        <f t="shared" si="6"/>
        <v>5.279309922</v>
      </c>
      <c r="E34" s="36">
        <f t="shared" si="5"/>
        <v>33.53911377</v>
      </c>
    </row>
    <row r="35" ht="22.5" customHeight="1">
      <c r="A35" s="7" t="s">
        <v>11</v>
      </c>
      <c r="B35" s="36">
        <f t="shared" si="3"/>
        <v>0</v>
      </c>
      <c r="C35" s="36">
        <f t="shared" ref="C35:D35" si="7">G27</f>
        <v>0</v>
      </c>
      <c r="D35" s="36">
        <f t="shared" si="7"/>
        <v>1.878301993</v>
      </c>
      <c r="E35" s="36">
        <f t="shared" si="5"/>
        <v>30.36979308</v>
      </c>
    </row>
    <row r="47" ht="22.5" customHeight="1">
      <c r="A47" s="4" t="s">
        <v>285</v>
      </c>
      <c r="B47" s="4" t="s">
        <v>286</v>
      </c>
      <c r="C47" s="4" t="s">
        <v>287</v>
      </c>
      <c r="D47" s="4" t="s">
        <v>288</v>
      </c>
      <c r="E47" s="4" t="s">
        <v>289</v>
      </c>
      <c r="F47" s="4" t="s">
        <v>290</v>
      </c>
      <c r="G47" s="4" t="s">
        <v>291</v>
      </c>
      <c r="H47" s="4" t="s">
        <v>292</v>
      </c>
      <c r="I47" s="4" t="s">
        <v>293</v>
      </c>
      <c r="J47" s="4" t="s">
        <v>294</v>
      </c>
    </row>
    <row r="48" ht="22.5" customHeight="1">
      <c r="A48" s="7" t="s">
        <v>92</v>
      </c>
      <c r="B48" s="8">
        <f>MAX('Estimates-on-the-use-of-water-('!N:N)</f>
        <v>100</v>
      </c>
      <c r="C48" s="8">
        <f>MIN('Estimates-on-the-use-of-water-('!N:N)</f>
        <v>49.66166495</v>
      </c>
      <c r="D48" s="8">
        <f>AVERAGE('Estimates-on-the-use-of-water-('!N:N)</f>
        <v>94.68983975</v>
      </c>
      <c r="E48" s="8">
        <f>MEDIAN('Estimates-on-the-use-of-water-('!N:N)</f>
        <v>98.10662849</v>
      </c>
      <c r="F48" s="8">
        <f>MODE('Estimates-on-the-use-of-water-('!N:N)</f>
        <v>100</v>
      </c>
      <c r="G48" s="8">
        <f>_xlfn.QUARTILE.INC('Estimates-on-the-use-of-water-('!N:N,1)</f>
        <v>92.56287752</v>
      </c>
      <c r="H48" s="8">
        <f>_xlfn.QUARTILE.INC('Estimates-on-the-use-of-water-('!N:N,3)</f>
        <v>99.94941803</v>
      </c>
      <c r="I48" s="8">
        <f t="shared" ref="I48:I51" si="8">H48-G48</f>
        <v>7.38654051</v>
      </c>
      <c r="J48" s="8">
        <f>_xlfn.STDEV.S('Estimates-on-the-use-of-water-('!N:N)</f>
        <v>8.03886161</v>
      </c>
    </row>
    <row r="49" ht="22.5" customHeight="1">
      <c r="A49" s="7" t="s">
        <v>93</v>
      </c>
      <c r="B49" s="8">
        <f>MAX('Estimates-on-the-use-of-water-('!O:O)</f>
        <v>34.27978009</v>
      </c>
      <c r="C49" s="8">
        <f>MIN('Estimates-on-the-use-of-water-('!O:O)</f>
        <v>0</v>
      </c>
      <c r="D49" s="8">
        <f>AVERAGE('Estimates-on-the-use-of-water-('!O:O)</f>
        <v>3.281838654</v>
      </c>
      <c r="E49" s="8">
        <f>MEDIAN('Estimates-on-the-use-of-water-('!O:O)</f>
        <v>0.5</v>
      </c>
      <c r="F49" s="8">
        <f>MODE('Estimates-on-the-use-of-water-('!O:O)</f>
        <v>0</v>
      </c>
      <c r="G49" s="8">
        <f>_xlfn.QUARTILE.INC('Estimates-on-the-use-of-water-('!O:O,1)</f>
        <v>0</v>
      </c>
      <c r="H49" s="8">
        <f>_xlfn.QUARTILE.INC('Estimates-on-the-use-of-water-('!O:O,3)</f>
        <v>3.966347184</v>
      </c>
      <c r="I49" s="8">
        <f t="shared" si="8"/>
        <v>3.966347184</v>
      </c>
      <c r="J49" s="8">
        <f>_xlfn.STDEV.S('Estimates-on-the-use-of-water-('!O:O)</f>
        <v>5.63506705</v>
      </c>
    </row>
    <row r="50" ht="22.5" customHeight="1">
      <c r="A50" s="7" t="s">
        <v>94</v>
      </c>
      <c r="B50" s="8">
        <f>MAX('Estimates-on-the-use-of-water-('!P:P)</f>
        <v>19.83580681</v>
      </c>
      <c r="C50" s="8">
        <f>MIN('Estimates-on-the-use-of-water-('!P:P)</f>
        <v>0</v>
      </c>
      <c r="D50" s="8">
        <f>AVERAGE('Estimates-on-the-use-of-water-('!P:P)</f>
        <v>1.71878521</v>
      </c>
      <c r="E50" s="8">
        <f>MEDIAN('Estimates-on-the-use-of-water-('!P:P)</f>
        <v>0.3498740029</v>
      </c>
      <c r="F50" s="8">
        <f>MODE('Estimates-on-the-use-of-water-('!P:P)</f>
        <v>0</v>
      </c>
      <c r="G50" s="8">
        <f>_xlfn.QUARTILE.INC('Estimates-on-the-use-of-water-('!P:P,1)</f>
        <v>0</v>
      </c>
      <c r="H50" s="8">
        <f>_xlfn.QUARTILE.INC('Estimates-on-the-use-of-water-('!P:P,3)</f>
        <v>2.059001302</v>
      </c>
      <c r="I50" s="8">
        <f t="shared" si="8"/>
        <v>2.059001302</v>
      </c>
      <c r="J50" s="8">
        <f>_xlfn.STDEV.S('Estimates-on-the-use-of-water-('!P:P)</f>
        <v>3.23457032</v>
      </c>
    </row>
    <row r="51" ht="22.5" customHeight="1">
      <c r="A51" s="7" t="s">
        <v>96</v>
      </c>
      <c r="B51" s="8">
        <f>MAX('Estimates-on-the-use-of-water-('!Q:Q)</f>
        <v>6.362160532</v>
      </c>
      <c r="C51" s="8">
        <f>MIN('Estimates-on-the-use-of-water-('!Q:Q)</f>
        <v>0</v>
      </c>
      <c r="D51" s="8">
        <f>AVERAGE('Estimates-on-the-use-of-water-('!Q:Q)</f>
        <v>0.3131148443</v>
      </c>
      <c r="E51" s="8">
        <f>MEDIAN('Estimates-on-the-use-of-water-('!Q:Q)</f>
        <v>0</v>
      </c>
      <c r="F51" s="8">
        <f>MODE('Estimates-on-the-use-of-water-('!Q:Q)</f>
        <v>0</v>
      </c>
      <c r="G51" s="8">
        <f>_xlfn.QUARTILE.INC('Estimates-on-the-use-of-water-('!Q:Q,1)</f>
        <v>0</v>
      </c>
      <c r="H51" s="8">
        <f>_xlfn.QUARTILE.INC('Estimates-on-the-use-of-water-('!Q:Q,3)</f>
        <v>0.1597056849</v>
      </c>
      <c r="I51" s="8">
        <f t="shared" si="8"/>
        <v>0.1597056849</v>
      </c>
      <c r="J51" s="8">
        <f>_xlfn.STDEV.S('Estimates-on-the-use-of-water-('!Q:Q)</f>
        <v>0.8696316426</v>
      </c>
    </row>
    <row r="54" ht="22.5" customHeight="1">
      <c r="A54" s="34" t="s">
        <v>86</v>
      </c>
      <c r="B54" s="4" t="s">
        <v>87</v>
      </c>
      <c r="C54" s="4" t="s">
        <v>88</v>
      </c>
      <c r="D54" s="4" t="s">
        <v>89</v>
      </c>
      <c r="E54" s="4" t="s">
        <v>90</v>
      </c>
    </row>
    <row r="55" ht="22.5" customHeight="1">
      <c r="A55" s="8" t="str">
        <f t="shared" ref="A55:A58" si="10">A48</f>
        <v>wat_bas_u (Basic water)</v>
      </c>
      <c r="B55" s="8">
        <f t="shared" ref="B55:B58" si="11">C48</f>
        <v>49.66166495</v>
      </c>
      <c r="C55" s="8">
        <f t="shared" ref="C55:D55" si="9">G48</f>
        <v>92.56287752</v>
      </c>
      <c r="D55" s="8">
        <f t="shared" si="9"/>
        <v>99.94941803</v>
      </c>
      <c r="E55" s="8">
        <f t="shared" ref="E55:E58" si="13">B48</f>
        <v>100</v>
      </c>
    </row>
    <row r="56" ht="22.5" customHeight="1">
      <c r="A56" s="8" t="str">
        <f t="shared" si="10"/>
        <v>wat_lim_u (Limited water)</v>
      </c>
      <c r="B56" s="8">
        <f t="shared" si="11"/>
        <v>0</v>
      </c>
      <c r="C56" s="8">
        <f t="shared" ref="C56:D56" si="12">G49</f>
        <v>0</v>
      </c>
      <c r="D56" s="8">
        <f t="shared" si="12"/>
        <v>3.966347184</v>
      </c>
      <c r="E56" s="8">
        <f t="shared" si="13"/>
        <v>34.27978009</v>
      </c>
    </row>
    <row r="57" ht="22.5" customHeight="1">
      <c r="A57" s="8" t="str">
        <f t="shared" si="10"/>
        <v>wat_unimp_u (Unimproved water)</v>
      </c>
      <c r="B57" s="8">
        <f t="shared" si="11"/>
        <v>0</v>
      </c>
      <c r="C57" s="8">
        <f t="shared" ref="C57:D57" si="14">G50</f>
        <v>0</v>
      </c>
      <c r="D57" s="8">
        <f t="shared" si="14"/>
        <v>2.059001302</v>
      </c>
      <c r="E57" s="8">
        <f t="shared" si="13"/>
        <v>19.83580681</v>
      </c>
    </row>
    <row r="58" ht="22.5" customHeight="1">
      <c r="A58" s="8" t="str">
        <f t="shared" si="10"/>
        <v>wat_sur_u (Surface water)</v>
      </c>
      <c r="B58" s="8">
        <f t="shared" si="11"/>
        <v>0</v>
      </c>
      <c r="C58" s="8">
        <f t="shared" ref="C58:D58" si="15">G51</f>
        <v>0</v>
      </c>
      <c r="D58" s="8">
        <f t="shared" si="15"/>
        <v>0.1597056849</v>
      </c>
      <c r="E58" s="8">
        <f t="shared" si="13"/>
        <v>6.362160532</v>
      </c>
    </row>
    <row r="72" ht="22.5" customHeight="1">
      <c r="A72" s="4" t="s">
        <v>285</v>
      </c>
      <c r="B72" s="4" t="s">
        <v>286</v>
      </c>
      <c r="C72" s="4" t="s">
        <v>287</v>
      </c>
      <c r="D72" s="4" t="s">
        <v>288</v>
      </c>
      <c r="E72" s="4" t="s">
        <v>289</v>
      </c>
      <c r="F72" s="4" t="s">
        <v>290</v>
      </c>
      <c r="G72" s="4" t="s">
        <v>291</v>
      </c>
      <c r="H72" s="4" t="s">
        <v>292</v>
      </c>
      <c r="I72" s="4" t="s">
        <v>293</v>
      </c>
      <c r="J72" s="4" t="s">
        <v>294</v>
      </c>
    </row>
    <row r="73" ht="22.5" customHeight="1">
      <c r="A73" s="7" t="s">
        <v>97</v>
      </c>
      <c r="B73" s="8">
        <f>MAX('Estimates-on-the-use-of-water-('!J:J)</f>
        <v>100</v>
      </c>
      <c r="C73" s="8">
        <f>MIN('Estimates-on-the-use-of-water-('!J:J)</f>
        <v>21.98279234</v>
      </c>
      <c r="D73" s="8">
        <f>AVERAGE('Estimates-on-the-use-of-water-('!J:J)</f>
        <v>81.33591803</v>
      </c>
      <c r="E73" s="8">
        <f>MEDIAN('Estimates-on-the-use-of-water-('!J:J)</f>
        <v>90.73161683</v>
      </c>
      <c r="F73" s="8">
        <f>MODE('Estimates-on-the-use-of-water-('!J:J)</f>
        <v>100</v>
      </c>
      <c r="G73" s="8">
        <f>_xlfn.QUARTILE.INC('Estimates-on-the-use-of-water-('!J:J,1)</f>
        <v>64.8254211</v>
      </c>
      <c r="H73" s="8">
        <f>_xlfn.QUARTILE.INC('Estimates-on-the-use-of-water-('!J:J,3)</f>
        <v>99.11924249</v>
      </c>
      <c r="I73" s="8">
        <f t="shared" ref="I73:I76" si="16">H73-G73</f>
        <v>34.29382139</v>
      </c>
      <c r="J73" s="8">
        <f>_xlfn.STDEV.S('Estimates-on-the-use-of-water-('!J:J)</f>
        <v>21.50663741</v>
      </c>
    </row>
    <row r="74" ht="22.5" customHeight="1">
      <c r="A74" s="7" t="s">
        <v>98</v>
      </c>
      <c r="B74" s="8">
        <f>MAX('Estimates-on-the-use-of-water-('!K:K)</f>
        <v>42.16438068</v>
      </c>
      <c r="C74" s="8">
        <f>MIN('Estimates-on-the-use-of-water-('!K:K)</f>
        <v>0</v>
      </c>
      <c r="D74" s="8">
        <f>AVERAGE('Estimates-on-the-use-of-water-('!K:K)</f>
        <v>5.836562548</v>
      </c>
      <c r="E74" s="8">
        <f>MEDIAN('Estimates-on-the-use-of-water-('!K:K)</f>
        <v>1.812330835</v>
      </c>
      <c r="F74" s="8">
        <f>MODE('Estimates-on-the-use-of-water-('!K:K)</f>
        <v>0</v>
      </c>
      <c r="G74" s="8">
        <f>_xlfn.QUARTILE.INC('Estimates-on-the-use-of-water-('!K:K,1)</f>
        <v>0</v>
      </c>
      <c r="H74" s="8">
        <f>_xlfn.QUARTILE.INC('Estimates-on-the-use-of-water-('!K:K,3)</f>
        <v>8.553175126</v>
      </c>
      <c r="I74" s="8">
        <f t="shared" si="16"/>
        <v>8.553175126</v>
      </c>
      <c r="J74" s="8">
        <f>_xlfn.STDEV.S('Estimates-on-the-use-of-water-('!K:K)</f>
        <v>8.704765846</v>
      </c>
    </row>
    <row r="75" ht="22.5" customHeight="1">
      <c r="A75" s="7" t="s">
        <v>99</v>
      </c>
      <c r="B75" s="8">
        <f>MAX('Estimates-on-the-use-of-water-('!L:L)</f>
        <v>51.21598167</v>
      </c>
      <c r="C75" s="8">
        <f>MIN('Estimates-on-the-use-of-water-('!L:L)</f>
        <v>0</v>
      </c>
      <c r="D75" s="8">
        <f>AVERAGE('Estimates-on-the-use-of-water-('!L:L)</f>
        <v>8.732261484</v>
      </c>
      <c r="E75" s="8">
        <f>MEDIAN('Estimates-on-the-use-of-water-('!L:L)</f>
        <v>3.229749713</v>
      </c>
      <c r="F75" s="8">
        <f>MODE('Estimates-on-the-use-of-water-('!L:L)</f>
        <v>0</v>
      </c>
      <c r="G75" s="8">
        <f>_xlfn.QUARTILE.INC('Estimates-on-the-use-of-water-('!L:L,1)</f>
        <v>0.1584109169</v>
      </c>
      <c r="H75" s="8">
        <f>_xlfn.QUARTILE.INC('Estimates-on-the-use-of-water-('!L:L,3)</f>
        <v>13.2663393</v>
      </c>
      <c r="I75" s="8">
        <f t="shared" si="16"/>
        <v>13.10792838</v>
      </c>
      <c r="J75" s="8">
        <f>_xlfn.STDEV.S('Estimates-on-the-use-of-water-('!L:L)</f>
        <v>11.82849434</v>
      </c>
    </row>
    <row r="76" ht="22.5" customHeight="1">
      <c r="A76" s="7" t="s">
        <v>100</v>
      </c>
      <c r="B76" s="8">
        <f>MAX('Estimates-on-the-use-of-water-('!M:M)</f>
        <v>40.51813242</v>
      </c>
      <c r="C76" s="8">
        <f>MIN('Estimates-on-the-use-of-water-('!M:M)</f>
        <v>0</v>
      </c>
      <c r="D76" s="8">
        <f>AVERAGE('Estimates-on-the-use-of-water-('!M:M)</f>
        <v>4.224039638</v>
      </c>
      <c r="E76" s="8">
        <f>MEDIAN('Estimates-on-the-use-of-water-('!M:M)</f>
        <v>0.2196897375</v>
      </c>
      <c r="F76" s="8">
        <f>MODE('Estimates-on-the-use-of-water-('!M:M)</f>
        <v>0</v>
      </c>
      <c r="G76" s="8">
        <f>_xlfn.QUARTILE.INC('Estimates-on-the-use-of-water-('!M:M,1)</f>
        <v>0</v>
      </c>
      <c r="H76" s="8">
        <f>_xlfn.QUARTILE.INC('Estimates-on-the-use-of-water-('!M:M,3)</f>
        <v>6.157471481</v>
      </c>
      <c r="I76" s="8">
        <f t="shared" si="16"/>
        <v>6.157471481</v>
      </c>
      <c r="J76" s="8">
        <f>_xlfn.STDEV.S('Estimates-on-the-use-of-water-('!M:M)</f>
        <v>6.847951395</v>
      </c>
    </row>
    <row r="80" ht="22.5" customHeight="1">
      <c r="A80" s="4" t="s">
        <v>86</v>
      </c>
      <c r="B80" s="4" t="s">
        <v>87</v>
      </c>
      <c r="C80" s="4" t="s">
        <v>88</v>
      </c>
      <c r="D80" s="4" t="s">
        <v>89</v>
      </c>
      <c r="E80" s="4" t="s">
        <v>90</v>
      </c>
    </row>
    <row r="81" ht="22.5" customHeight="1">
      <c r="A81" s="8" t="str">
        <f t="shared" ref="A81:A84" si="18">A73</f>
        <v>wat_bas_r (Basic water)</v>
      </c>
      <c r="B81" s="8">
        <f t="shared" ref="B81:B84" si="19">C73</f>
        <v>21.98279234</v>
      </c>
      <c r="C81" s="8">
        <f t="shared" ref="C81:D81" si="17">G73</f>
        <v>64.8254211</v>
      </c>
      <c r="D81" s="8">
        <f t="shared" si="17"/>
        <v>99.11924249</v>
      </c>
      <c r="E81" s="8">
        <f t="shared" ref="E81:E84" si="21">B73</f>
        <v>100</v>
      </c>
    </row>
    <row r="82" ht="22.5" customHeight="1">
      <c r="A82" s="8" t="str">
        <f t="shared" si="18"/>
        <v>wat_lim_r (Limited water)</v>
      </c>
      <c r="B82" s="8">
        <f t="shared" si="19"/>
        <v>0</v>
      </c>
      <c r="C82" s="8">
        <f t="shared" ref="C82:D82" si="20">G74</f>
        <v>0</v>
      </c>
      <c r="D82" s="8">
        <f t="shared" si="20"/>
        <v>8.553175126</v>
      </c>
      <c r="E82" s="8">
        <f t="shared" si="21"/>
        <v>42.16438068</v>
      </c>
    </row>
    <row r="83" ht="22.5" customHeight="1">
      <c r="A83" s="8" t="str">
        <f t="shared" si="18"/>
        <v>wat_unimp_r (Unimproved water)</v>
      </c>
      <c r="B83" s="8">
        <f t="shared" si="19"/>
        <v>0</v>
      </c>
      <c r="C83" s="8">
        <f t="shared" ref="C83:D83" si="22">G75</f>
        <v>0.1584109169</v>
      </c>
      <c r="D83" s="8">
        <f t="shared" si="22"/>
        <v>13.2663393</v>
      </c>
      <c r="E83" s="8">
        <f t="shared" si="21"/>
        <v>51.21598167</v>
      </c>
    </row>
    <row r="84" ht="22.5" customHeight="1">
      <c r="A84" s="8" t="str">
        <f t="shared" si="18"/>
        <v>wat_sur_r (Surface water)</v>
      </c>
      <c r="B84" s="8">
        <f t="shared" si="19"/>
        <v>0</v>
      </c>
      <c r="C84" s="8">
        <f t="shared" ref="C84:D84" si="23">G76</f>
        <v>0</v>
      </c>
      <c r="D84" s="8">
        <f t="shared" si="23"/>
        <v>6.157471481</v>
      </c>
      <c r="E84" s="8">
        <f t="shared" si="21"/>
        <v>40.51813242</v>
      </c>
    </row>
    <row r="99" ht="22.5" customHeight="1">
      <c r="A99" s="4" t="s">
        <v>86</v>
      </c>
      <c r="B99" s="4" t="s">
        <v>87</v>
      </c>
      <c r="C99" s="4" t="s">
        <v>88</v>
      </c>
      <c r="D99" s="4" t="s">
        <v>89</v>
      </c>
      <c r="E99" s="4" t="s">
        <v>90</v>
      </c>
    </row>
    <row r="100" ht="22.5" customHeight="1">
      <c r="A100" s="7" t="s">
        <v>8</v>
      </c>
      <c r="B100" s="37">
        <v>37.0</v>
      </c>
      <c r="C100" s="37">
        <v>85.5</v>
      </c>
      <c r="D100" s="37">
        <v>100.0</v>
      </c>
      <c r="E100" s="37">
        <v>100.0</v>
      </c>
    </row>
    <row r="101" ht="22.5" customHeight="1">
      <c r="A101" s="7" t="s">
        <v>9</v>
      </c>
      <c r="B101" s="37">
        <v>0.0</v>
      </c>
      <c r="C101" s="37">
        <v>0.0</v>
      </c>
      <c r="D101" s="37">
        <v>4.8512191565</v>
      </c>
      <c r="E101" s="37">
        <v>37.42696287</v>
      </c>
    </row>
    <row r="102" ht="22.5" customHeight="1">
      <c r="A102" s="7" t="s">
        <v>10</v>
      </c>
      <c r="B102" s="37">
        <v>0.0</v>
      </c>
      <c r="C102" s="37">
        <v>0.033906222645</v>
      </c>
      <c r="D102" s="37">
        <v>5.2793099219999995</v>
      </c>
      <c r="E102" s="37">
        <v>33.53911377</v>
      </c>
    </row>
    <row r="103" ht="22.5" customHeight="1">
      <c r="A103" s="7" t="s">
        <v>11</v>
      </c>
      <c r="B103" s="37">
        <v>0.0</v>
      </c>
      <c r="C103" s="37">
        <v>0.0</v>
      </c>
      <c r="D103" s="37">
        <v>1.87830199325</v>
      </c>
      <c r="E103" s="37">
        <v>30.36979308</v>
      </c>
    </row>
    <row r="104" ht="22.5" customHeight="1">
      <c r="A104" s="8" t="s">
        <v>92</v>
      </c>
      <c r="B104" s="38">
        <v>49.66166495</v>
      </c>
      <c r="C104" s="38">
        <v>92.56287752</v>
      </c>
      <c r="D104" s="38">
        <v>99.94941803</v>
      </c>
      <c r="E104" s="38">
        <v>100.0</v>
      </c>
    </row>
    <row r="105" ht="22.5" customHeight="1">
      <c r="A105" s="8" t="s">
        <v>93</v>
      </c>
      <c r="B105" s="38">
        <v>0.0</v>
      </c>
      <c r="C105" s="38">
        <v>0.0</v>
      </c>
      <c r="D105" s="38">
        <v>3.9663471835</v>
      </c>
      <c r="E105" s="38">
        <v>34.27978009</v>
      </c>
    </row>
    <row r="106" ht="22.5" customHeight="1">
      <c r="A106" s="8" t="s">
        <v>94</v>
      </c>
      <c r="B106" s="38">
        <v>0.0</v>
      </c>
      <c r="C106" s="38">
        <v>0.0</v>
      </c>
      <c r="D106" s="38">
        <v>2.0590013015</v>
      </c>
      <c r="E106" s="38">
        <v>19.83580681</v>
      </c>
    </row>
    <row r="107" ht="22.5" customHeight="1">
      <c r="A107" s="8" t="s">
        <v>96</v>
      </c>
      <c r="B107" s="38">
        <v>0.0</v>
      </c>
      <c r="C107" s="38">
        <v>0.0</v>
      </c>
      <c r="D107" s="38">
        <v>0.1597056849</v>
      </c>
      <c r="E107" s="38">
        <v>6.362160532</v>
      </c>
    </row>
    <row r="108" ht="22.5" customHeight="1">
      <c r="A108" s="8" t="s">
        <v>97</v>
      </c>
      <c r="B108" s="38">
        <v>21.98279234</v>
      </c>
      <c r="C108" s="38">
        <v>64.825421095</v>
      </c>
      <c r="D108" s="38">
        <v>99.1192424875</v>
      </c>
      <c r="E108" s="38">
        <v>100.0</v>
      </c>
    </row>
    <row r="109" ht="22.5" customHeight="1">
      <c r="A109" s="8" t="s">
        <v>98</v>
      </c>
      <c r="B109" s="38">
        <v>0.0</v>
      </c>
      <c r="C109" s="38">
        <v>0.0</v>
      </c>
      <c r="D109" s="38">
        <v>8.5531751255</v>
      </c>
      <c r="E109" s="38">
        <v>42.16438068</v>
      </c>
    </row>
    <row r="110" ht="22.5" customHeight="1">
      <c r="A110" s="8" t="s">
        <v>99</v>
      </c>
      <c r="B110" s="38">
        <v>0.0</v>
      </c>
      <c r="C110" s="38">
        <v>0.158410916925</v>
      </c>
      <c r="D110" s="38">
        <v>13.2663392975</v>
      </c>
      <c r="E110" s="38">
        <v>51.21598167</v>
      </c>
    </row>
    <row r="111" ht="22.5" customHeight="1">
      <c r="A111" s="8" t="s">
        <v>100</v>
      </c>
      <c r="B111" s="38">
        <v>0.0</v>
      </c>
      <c r="C111" s="38">
        <v>0.0</v>
      </c>
      <c r="D111" s="38">
        <v>6.157471481</v>
      </c>
      <c r="E111" s="38">
        <v>40.51813242</v>
      </c>
    </row>
  </sheetData>
  <dataValidations>
    <dataValidation type="custom" allowBlank="1" showDropDown="1" sqref="B100:E111">
      <formula1>AND(ISNUMBER(B100),(NOT(OR(NOT(ISERROR(DATEVALUE(B100))), AND(ISNUMBER(B100), LEFT(CELL("format", B100))="D")))))</formula1>
    </dataValidation>
  </dataValidations>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 customWidth="1" min="2" max="2" width="25.88"/>
    <col customWidth="1" min="3" max="3" width="29.13"/>
    <col customWidth="1" min="4" max="4" width="27.0"/>
    <col customWidth="1" min="5" max="5" width="27.63"/>
  </cols>
  <sheetData>
    <row r="1">
      <c r="A1" s="9"/>
    </row>
    <row r="2" ht="22.5" customHeight="1">
      <c r="A2" s="10" t="s">
        <v>86</v>
      </c>
      <c r="B2" s="10" t="s">
        <v>87</v>
      </c>
      <c r="C2" s="10" t="s">
        <v>88</v>
      </c>
      <c r="D2" s="10" t="s">
        <v>89</v>
      </c>
      <c r="E2" s="10" t="s">
        <v>90</v>
      </c>
      <c r="G2" s="12"/>
    </row>
    <row r="3" ht="22.5" customHeight="1">
      <c r="A3" s="13" t="s">
        <v>8</v>
      </c>
      <c r="B3" s="14">
        <v>37.0</v>
      </c>
      <c r="C3" s="14">
        <v>85.5</v>
      </c>
      <c r="D3" s="14">
        <v>100.0</v>
      </c>
      <c r="E3" s="14">
        <v>100.0</v>
      </c>
    </row>
    <row r="4" ht="22.5" customHeight="1">
      <c r="A4" s="13" t="s">
        <v>9</v>
      </c>
      <c r="B4" s="14">
        <v>0.0</v>
      </c>
      <c r="C4" s="14">
        <v>0.0</v>
      </c>
      <c r="D4" s="14">
        <v>4.8512191565</v>
      </c>
      <c r="E4" s="14">
        <v>37.42696287</v>
      </c>
    </row>
    <row r="5" ht="22.5" customHeight="1">
      <c r="A5" s="13" t="s">
        <v>10</v>
      </c>
      <c r="B5" s="14">
        <v>0.0</v>
      </c>
      <c r="C5" s="14">
        <v>0.033906222645</v>
      </c>
      <c r="D5" s="14">
        <v>5.2793099219999995</v>
      </c>
      <c r="E5" s="14">
        <v>33.53911377</v>
      </c>
    </row>
    <row r="6" ht="22.5" customHeight="1">
      <c r="A6" s="13" t="s">
        <v>11</v>
      </c>
      <c r="B6" s="14">
        <v>0.0</v>
      </c>
      <c r="C6" s="14">
        <v>0.0</v>
      </c>
      <c r="D6" s="14">
        <v>1.87830199325</v>
      </c>
      <c r="E6" s="14">
        <v>30.36979308</v>
      </c>
    </row>
    <row r="7" ht="22.5" customHeight="1">
      <c r="A7" s="15" t="s">
        <v>92</v>
      </c>
      <c r="B7" s="16">
        <v>49.66166495</v>
      </c>
      <c r="C7" s="16">
        <v>92.56287752</v>
      </c>
      <c r="D7" s="16">
        <v>99.94941803</v>
      </c>
      <c r="E7" s="16">
        <v>100.0</v>
      </c>
    </row>
    <row r="8" ht="22.5" customHeight="1">
      <c r="A8" s="15" t="s">
        <v>93</v>
      </c>
      <c r="B8" s="16">
        <v>0.0</v>
      </c>
      <c r="C8" s="16">
        <v>0.0</v>
      </c>
      <c r="D8" s="16">
        <v>3.9663471835</v>
      </c>
      <c r="E8" s="16">
        <v>34.27978009</v>
      </c>
    </row>
    <row r="9" ht="22.5" customHeight="1">
      <c r="A9" s="15" t="s">
        <v>94</v>
      </c>
      <c r="B9" s="16">
        <v>0.0</v>
      </c>
      <c r="C9" s="16">
        <v>0.0</v>
      </c>
      <c r="D9" s="16">
        <v>2.0590013015</v>
      </c>
      <c r="E9" s="16">
        <v>19.83580681</v>
      </c>
    </row>
    <row r="10" ht="22.5" customHeight="1">
      <c r="A10" s="15" t="s">
        <v>96</v>
      </c>
      <c r="B10" s="16">
        <v>0.0</v>
      </c>
      <c r="C10" s="16">
        <v>0.0</v>
      </c>
      <c r="D10" s="16">
        <v>0.1597056849</v>
      </c>
      <c r="E10" s="16">
        <v>6.362160532</v>
      </c>
    </row>
    <row r="11" ht="22.5" customHeight="1">
      <c r="A11" s="15" t="s">
        <v>97</v>
      </c>
      <c r="B11" s="16">
        <v>21.98279234</v>
      </c>
      <c r="C11" s="16">
        <v>64.825421095</v>
      </c>
      <c r="D11" s="16">
        <v>99.1192424875</v>
      </c>
      <c r="E11" s="16">
        <v>100.0</v>
      </c>
    </row>
    <row r="12" ht="22.5" customHeight="1">
      <c r="A12" s="15" t="s">
        <v>98</v>
      </c>
      <c r="B12" s="16">
        <v>0.0</v>
      </c>
      <c r="C12" s="16">
        <v>0.0</v>
      </c>
      <c r="D12" s="16">
        <v>8.5531751255</v>
      </c>
      <c r="E12" s="16">
        <v>42.16438068</v>
      </c>
    </row>
    <row r="13" ht="22.5" customHeight="1">
      <c r="A13" s="15" t="s">
        <v>99</v>
      </c>
      <c r="B13" s="16">
        <v>0.0</v>
      </c>
      <c r="C13" s="16">
        <v>0.158410916925</v>
      </c>
      <c r="D13" s="16">
        <v>13.2663392975</v>
      </c>
      <c r="E13" s="16">
        <v>51.21598167</v>
      </c>
    </row>
    <row r="14" ht="22.5" customHeight="1">
      <c r="A14" s="15" t="s">
        <v>100</v>
      </c>
      <c r="B14" s="16">
        <v>0.0</v>
      </c>
      <c r="C14" s="16">
        <v>0.0</v>
      </c>
      <c r="D14" s="16">
        <v>6.157471481</v>
      </c>
      <c r="E14" s="16">
        <v>40.51813242</v>
      </c>
    </row>
  </sheetData>
  <mergeCells count="1">
    <mergeCell ref="A1:E1"/>
  </mergeCells>
  <dataValidations>
    <dataValidation type="custom" allowBlank="1" showDropDown="1" sqref="B3:E14">
      <formula1>AND(ISNUMBER(B3),(NOT(OR(NOT(ISERROR(DATEVALUE(B3))), AND(ISNUMBER(B3), LEFT(CELL("format", B3))="D")))))</formula1>
    </dataValidation>
  </dataValidations>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13.5"/>
    <col customWidth="1" min="19" max="19" width="31.0"/>
    <col customWidth="1" min="20" max="20" width="71.0"/>
  </cols>
  <sheetData>
    <row r="5">
      <c r="R5" s="39" t="s">
        <v>299</v>
      </c>
      <c r="S5" s="40"/>
    </row>
    <row r="6">
      <c r="R6" s="41" t="s">
        <v>300</v>
      </c>
      <c r="S6" s="41" t="s">
        <v>301</v>
      </c>
      <c r="T6" s="41" t="s">
        <v>302</v>
      </c>
    </row>
    <row r="7">
      <c r="R7" s="42" t="s">
        <v>303</v>
      </c>
      <c r="S7" s="42" t="s">
        <v>304</v>
      </c>
      <c r="T7" s="42" t="s">
        <v>305</v>
      </c>
    </row>
    <row r="8">
      <c r="R8" s="42" t="s">
        <v>306</v>
      </c>
      <c r="S8" s="42" t="s">
        <v>307</v>
      </c>
      <c r="T8" s="42" t="s">
        <v>308</v>
      </c>
    </row>
    <row r="9">
      <c r="R9" s="42" t="s">
        <v>309</v>
      </c>
      <c r="S9" s="42" t="s">
        <v>310</v>
      </c>
      <c r="T9" s="42" t="s">
        <v>311</v>
      </c>
    </row>
    <row r="49">
      <c r="A49" s="43"/>
      <c r="M49" s="44"/>
    </row>
  </sheetData>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